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angi\Downloads\"/>
    </mc:Choice>
  </mc:AlternateContent>
  <xr:revisionPtr revIDLastSave="0" documentId="13_ncr:1_{F2206E14-B60C-44EB-995D-031E66399530}" xr6:coauthVersionLast="47" xr6:coauthVersionMax="47" xr10:uidLastSave="{00000000-0000-0000-0000-000000000000}"/>
  <bookViews>
    <workbookView xWindow="-96" yWindow="-96" windowWidth="23232" windowHeight="13872" xr2:uid="{C44882B3-8087-467C-AF13-6E9A6D53C9CD}"/>
  </bookViews>
  <sheets>
    <sheet name="Sheet1" sheetId="1" r:id="rId1"/>
  </sheets>
  <definedNames>
    <definedName name="FixPtFrac">Sheet1!$O$4</definedName>
    <definedName name="PowFrac">Sheet1!$Q$4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Q4" i="1"/>
  <c r="P7" i="1" s="1"/>
  <c r="M8" i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D22" i="1"/>
  <c r="J22" i="1" s="1"/>
  <c r="J21" i="1"/>
  <c r="D21" i="1"/>
  <c r="D20" i="1"/>
  <c r="J20" i="1" s="1"/>
  <c r="D9" i="1"/>
  <c r="J9" i="1" s="1"/>
  <c r="D8" i="1"/>
  <c r="J8" i="1" s="1"/>
  <c r="G24" i="1"/>
  <c r="G8" i="1"/>
  <c r="J7" i="1"/>
  <c r="F8" i="1" s="1"/>
  <c r="H8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H7" i="1"/>
  <c r="N7" i="1" l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O7" i="1"/>
  <c r="Q7" i="1" s="1"/>
  <c r="P8" i="1" s="1"/>
  <c r="D10" i="1"/>
  <c r="G9" i="1"/>
  <c r="F9" i="1"/>
  <c r="H9" i="1" s="1"/>
  <c r="O8" i="1" l="1"/>
  <c r="Q8" i="1" s="1"/>
  <c r="P9" i="1" s="1"/>
  <c r="D11" i="1"/>
  <c r="J10" i="1"/>
  <c r="G10" i="1"/>
  <c r="F10" i="1"/>
  <c r="H10" i="1" s="1"/>
  <c r="O9" i="1" l="1"/>
  <c r="G11" i="1"/>
  <c r="J11" i="1"/>
  <c r="D12" i="1"/>
  <c r="F11" i="1"/>
  <c r="Q9" i="1" l="1"/>
  <c r="P10" i="1" s="1"/>
  <c r="J12" i="1"/>
  <c r="D13" i="1"/>
  <c r="H11" i="1"/>
  <c r="G12" i="1" s="1"/>
  <c r="O10" i="1" l="1"/>
  <c r="D14" i="1"/>
  <c r="J13" i="1"/>
  <c r="F12" i="1"/>
  <c r="H12" i="1"/>
  <c r="F13" i="1" s="1"/>
  <c r="Q10" i="1" l="1"/>
  <c r="P11" i="1" s="1"/>
  <c r="D15" i="1"/>
  <c r="J14" i="1"/>
  <c r="H13" i="1"/>
  <c r="F14" i="1" s="1"/>
  <c r="G13" i="1"/>
  <c r="O11" i="1" l="1"/>
  <c r="Q11" i="1" s="1"/>
  <c r="P12" i="1" s="1"/>
  <c r="D16" i="1"/>
  <c r="J15" i="1"/>
  <c r="G14" i="1"/>
  <c r="H14" i="1"/>
  <c r="O12" i="1" l="1"/>
  <c r="D17" i="1"/>
  <c r="J16" i="1"/>
  <c r="G15" i="1"/>
  <c r="F15" i="1"/>
  <c r="Q12" i="1" l="1"/>
  <c r="P13" i="1" s="1"/>
  <c r="D18" i="1"/>
  <c r="J17" i="1"/>
  <c r="H15" i="1"/>
  <c r="G16" i="1" s="1"/>
  <c r="O13" i="1" l="1"/>
  <c r="Q13" i="1" s="1"/>
  <c r="P14" i="1" s="1"/>
  <c r="D19" i="1"/>
  <c r="J19" i="1" s="1"/>
  <c r="J18" i="1"/>
  <c r="F16" i="1"/>
  <c r="O14" i="1" l="1"/>
  <c r="H16" i="1"/>
  <c r="G17" i="1" s="1"/>
  <c r="Q14" i="1" l="1"/>
  <c r="P15" i="1" s="1"/>
  <c r="F17" i="1"/>
  <c r="O15" i="1" l="1"/>
  <c r="H17" i="1"/>
  <c r="G18" i="1" s="1"/>
  <c r="Q15" i="1" l="1"/>
  <c r="P16" i="1" s="1"/>
  <c r="O16" i="1"/>
  <c r="F18" i="1"/>
  <c r="H18" i="1" s="1"/>
  <c r="Q16" i="1" l="1"/>
  <c r="P17" i="1" s="1"/>
  <c r="F19" i="1"/>
  <c r="G19" i="1"/>
  <c r="O17" i="1" l="1"/>
  <c r="Q17" i="1" s="1"/>
  <c r="O18" i="1" s="1"/>
  <c r="Q18" i="1" s="1"/>
  <c r="O19" i="1" s="1"/>
  <c r="Q19" i="1" s="1"/>
  <c r="H19" i="1"/>
  <c r="F20" i="1" s="1"/>
  <c r="P18" i="1" l="1"/>
  <c r="P19" i="1" s="1"/>
  <c r="P20" i="1" s="1"/>
  <c r="O20" i="1"/>
  <c r="H20" i="1"/>
  <c r="F21" i="1" s="1"/>
  <c r="G20" i="1"/>
  <c r="G21" i="1" s="1"/>
  <c r="Q20" i="1" l="1"/>
  <c r="P21" i="1" s="1"/>
  <c r="H21" i="1"/>
  <c r="G22" i="1" s="1"/>
  <c r="O21" i="1" l="1"/>
  <c r="Q21" i="1"/>
  <c r="P22" i="1" s="1"/>
  <c r="F22" i="1"/>
  <c r="H22" i="1" s="1"/>
  <c r="O22" i="1" l="1"/>
  <c r="Q22" i="1" s="1"/>
</calcChain>
</file>

<file path=xl/sharedStrings.xml><?xml version="1.0" encoding="utf-8"?>
<sst xmlns="http://schemas.openxmlformats.org/spreadsheetml/2006/main" count="24" uniqueCount="18">
  <si>
    <t>Xi</t>
  </si>
  <si>
    <t>Yi</t>
  </si>
  <si>
    <t>Zi</t>
  </si>
  <si>
    <t>di</t>
  </si>
  <si>
    <t>i</t>
  </si>
  <si>
    <t>2^-i</t>
  </si>
  <si>
    <t>Division Y / X</t>
  </si>
  <si>
    <t>Put values to magenta colored cells</t>
  </si>
  <si>
    <t>The result in green cell should be close to solution</t>
  </si>
  <si>
    <t>Correct:</t>
  </si>
  <si>
    <t>Note: it is possible that correct is observed at the middle of iterations.</t>
  </si>
  <si>
    <t>Possible solution: early termination, if Yi goes to zero</t>
  </si>
  <si>
    <t>When it happens, correct result will never be reached again. For example, try 1/4</t>
  </si>
  <si>
    <t>Fixed-point impl.</t>
  </si>
  <si>
    <t>Fraction length</t>
  </si>
  <si>
    <t>How to write equations correctly, that they really provide fixed-point result?</t>
  </si>
  <si>
    <t>Solution in this Excel sheet not guaranteed right.</t>
  </si>
  <si>
    <t>Three-valued CORDIC could be used easily because CORDIC gain in linear system is equal to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</si>
</sst>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7C3E-A378-4FA0-A8C9-CC276A6B5676}">
  <dimension ref="C2:S31"/>
  <sheetViews>
    <sheetView tabSelected="1" workbookViewId="0">
      <selection activeCell="E9" sqref="E9"/>
    </sheetView>
  </sheetViews>
  <sheetFormatPr defaultRowHeight="14.4" x14ac:dyDescent="0.55000000000000004"/>
  <cols>
    <col min="10" max="10" width="18" customWidth="1"/>
  </cols>
  <sheetData>
    <row r="2" spans="3:19" ht="23.7" x14ac:dyDescent="0.9">
      <c r="C2" s="11" t="s">
        <v>6</v>
      </c>
    </row>
    <row r="3" spans="3:19" ht="23.7" x14ac:dyDescent="0.9">
      <c r="C3" s="11" t="s">
        <v>7</v>
      </c>
      <c r="M3" s="6" t="s">
        <v>13</v>
      </c>
    </row>
    <row r="4" spans="3:19" ht="23.7" x14ac:dyDescent="0.9">
      <c r="C4" s="11" t="s">
        <v>8</v>
      </c>
      <c r="M4" s="6" t="s">
        <v>14</v>
      </c>
      <c r="O4" s="1">
        <v>8</v>
      </c>
      <c r="Q4" s="12">
        <f>POWER(2,FixPtFrac)</f>
        <v>256</v>
      </c>
    </row>
    <row r="6" spans="3:19" ht="14.7" thickBot="1" x14ac:dyDescent="0.6">
      <c r="D6" s="8" t="s">
        <v>4</v>
      </c>
      <c r="E6" s="8" t="s">
        <v>0</v>
      </c>
      <c r="F6" s="8" t="s">
        <v>1</v>
      </c>
      <c r="G6" s="8" t="s">
        <v>2</v>
      </c>
      <c r="H6" s="8" t="s">
        <v>3</v>
      </c>
      <c r="I6" s="9"/>
      <c r="J6" s="10" t="s">
        <v>5</v>
      </c>
      <c r="M6" s="8" t="s">
        <v>4</v>
      </c>
      <c r="N6" s="8" t="s">
        <v>0</v>
      </c>
      <c r="O6" s="8" t="s">
        <v>1</v>
      </c>
      <c r="P6" s="8" t="s">
        <v>2</v>
      </c>
      <c r="Q6" s="8" t="s">
        <v>3</v>
      </c>
      <c r="R6" s="9"/>
      <c r="S6" s="10" t="s">
        <v>5</v>
      </c>
    </row>
    <row r="7" spans="3:19" x14ac:dyDescent="0.55000000000000004">
      <c r="D7" s="3">
        <v>0</v>
      </c>
      <c r="E7" s="1">
        <v>4</v>
      </c>
      <c r="F7" s="2">
        <v>1</v>
      </c>
      <c r="G7" s="3">
        <v>0</v>
      </c>
      <c r="H7" s="3">
        <f>IF(F7&gt;0,-1,1)</f>
        <v>-1</v>
      </c>
      <c r="J7" s="3">
        <f>POWER(2,-D7)</f>
        <v>1</v>
      </c>
      <c r="M7" s="3">
        <v>0</v>
      </c>
      <c r="N7" s="3">
        <f>ROUND(E7*PowFrac,0)/PowFrac</f>
        <v>4</v>
      </c>
      <c r="O7" s="3">
        <f>ROUND(F7*PowFrac,0)/PowFrac</f>
        <v>1</v>
      </c>
      <c r="P7" s="3">
        <f>ROUND(G7*PowFrac,0)/PowFrac</f>
        <v>0</v>
      </c>
      <c r="Q7" s="3">
        <f>IF(O7&gt;0,-1,1)</f>
        <v>-1</v>
      </c>
      <c r="S7" s="3">
        <f>POWER(2,-M7)</f>
        <v>1</v>
      </c>
    </row>
    <row r="8" spans="3:19" x14ac:dyDescent="0.55000000000000004">
      <c r="D8" s="3">
        <f>D7+1</f>
        <v>1</v>
      </c>
      <c r="E8" s="3">
        <f>E7</f>
        <v>4</v>
      </c>
      <c r="F8" s="3">
        <f t="shared" ref="F8:F22" si="0">F7+H7*E7*J7</f>
        <v>-3</v>
      </c>
      <c r="G8" s="3">
        <f t="shared" ref="G8:G22" si="1">G7-H7*J7</f>
        <v>1</v>
      </c>
      <c r="H8" s="3">
        <f t="shared" ref="H8:H19" si="2">IF(F8&gt;0,-1,1)</f>
        <v>1</v>
      </c>
      <c r="J8" s="3">
        <f>POWER(2,-D8)</f>
        <v>0.5</v>
      </c>
      <c r="M8" s="3">
        <f>M7+1</f>
        <v>1</v>
      </c>
      <c r="N8" s="3">
        <f>N7</f>
        <v>4</v>
      </c>
      <c r="O8" s="3">
        <f t="shared" ref="O8:O22" si="3">O7+ROUND(Q7*N7*S7*PowFrac,0)/PowFrac</f>
        <v>-3</v>
      </c>
      <c r="P8" s="3">
        <f t="shared" ref="P8:P22" si="4">P7-ROUND(Q7*S7*PowFrac,0)/PowFrac</f>
        <v>1</v>
      </c>
      <c r="Q8" s="3">
        <f t="shared" ref="Q8" si="5">IF(O8&gt;0,-1,1)</f>
        <v>1</v>
      </c>
      <c r="S8" s="3">
        <f>POWER(2,-M8)</f>
        <v>0.5</v>
      </c>
    </row>
    <row r="9" spans="3:19" x14ac:dyDescent="0.55000000000000004">
      <c r="D9" s="3">
        <f t="shared" ref="D9:D19" si="6">D8+1</f>
        <v>2</v>
      </c>
      <c r="E9" s="3">
        <f t="shared" ref="E9:E19" si="7">E8</f>
        <v>4</v>
      </c>
      <c r="F9" s="3">
        <f t="shared" si="0"/>
        <v>-1</v>
      </c>
      <c r="G9" s="3">
        <f t="shared" si="1"/>
        <v>0.5</v>
      </c>
      <c r="H9" s="3">
        <f t="shared" si="2"/>
        <v>1</v>
      </c>
      <c r="J9" s="3">
        <f t="shared" ref="J9:J19" si="8">POWER(2,-D9)</f>
        <v>0.25</v>
      </c>
      <c r="M9" s="3">
        <f t="shared" ref="M9:M22" si="9">M8+1</f>
        <v>2</v>
      </c>
      <c r="N9" s="3">
        <f t="shared" ref="N9:N22" si="10">N8</f>
        <v>4</v>
      </c>
      <c r="O9" s="3">
        <f t="shared" si="3"/>
        <v>-1</v>
      </c>
      <c r="P9" s="3">
        <f t="shared" si="4"/>
        <v>0.5</v>
      </c>
      <c r="Q9" s="3">
        <f t="shared" ref="Q9:Q22" si="11">IF(O9&gt;0,-1,1)</f>
        <v>1</v>
      </c>
      <c r="S9" s="3">
        <f t="shared" ref="S9:S22" si="12">POWER(2,-M9)</f>
        <v>0.25</v>
      </c>
    </row>
    <row r="10" spans="3:19" x14ac:dyDescent="0.55000000000000004">
      <c r="D10" s="3">
        <f t="shared" si="6"/>
        <v>3</v>
      </c>
      <c r="E10" s="3">
        <f t="shared" si="7"/>
        <v>4</v>
      </c>
      <c r="F10" s="3">
        <f t="shared" si="0"/>
        <v>0</v>
      </c>
      <c r="G10" s="3">
        <f t="shared" si="1"/>
        <v>0.25</v>
      </c>
      <c r="H10" s="3">
        <f t="shared" si="2"/>
        <v>1</v>
      </c>
      <c r="J10" s="3">
        <f t="shared" si="8"/>
        <v>0.125</v>
      </c>
      <c r="M10" s="3">
        <f t="shared" si="9"/>
        <v>3</v>
      </c>
      <c r="N10" s="3">
        <f t="shared" si="10"/>
        <v>4</v>
      </c>
      <c r="O10" s="3">
        <f t="shared" si="3"/>
        <v>0</v>
      </c>
      <c r="P10" s="3">
        <f t="shared" si="4"/>
        <v>0.25</v>
      </c>
      <c r="Q10" s="3">
        <f t="shared" si="11"/>
        <v>1</v>
      </c>
      <c r="S10" s="3">
        <f t="shared" si="12"/>
        <v>0.125</v>
      </c>
    </row>
    <row r="11" spans="3:19" x14ac:dyDescent="0.55000000000000004">
      <c r="D11" s="3">
        <f t="shared" si="6"/>
        <v>4</v>
      </c>
      <c r="E11" s="3">
        <f t="shared" si="7"/>
        <v>4</v>
      </c>
      <c r="F11" s="3">
        <f t="shared" si="0"/>
        <v>0.5</v>
      </c>
      <c r="G11" s="3">
        <f t="shared" si="1"/>
        <v>0.125</v>
      </c>
      <c r="H11" s="3">
        <f t="shared" si="2"/>
        <v>-1</v>
      </c>
      <c r="J11" s="3">
        <f t="shared" si="8"/>
        <v>6.25E-2</v>
      </c>
      <c r="M11" s="3">
        <f t="shared" si="9"/>
        <v>4</v>
      </c>
      <c r="N11" s="3">
        <f t="shared" si="10"/>
        <v>4</v>
      </c>
      <c r="O11" s="3">
        <f t="shared" si="3"/>
        <v>0.5</v>
      </c>
      <c r="P11" s="3">
        <f t="shared" si="4"/>
        <v>0.125</v>
      </c>
      <c r="Q11" s="3">
        <f t="shared" si="11"/>
        <v>-1</v>
      </c>
      <c r="S11" s="3">
        <f t="shared" si="12"/>
        <v>6.25E-2</v>
      </c>
    </row>
    <row r="12" spans="3:19" x14ac:dyDescent="0.55000000000000004">
      <c r="D12" s="3">
        <f t="shared" si="6"/>
        <v>5</v>
      </c>
      <c r="E12" s="3">
        <f t="shared" si="7"/>
        <v>4</v>
      </c>
      <c r="F12" s="3">
        <f t="shared" si="0"/>
        <v>0.25</v>
      </c>
      <c r="G12" s="3">
        <f t="shared" si="1"/>
        <v>0.1875</v>
      </c>
      <c r="H12" s="3">
        <f t="shared" si="2"/>
        <v>-1</v>
      </c>
      <c r="J12" s="3">
        <f t="shared" si="8"/>
        <v>3.125E-2</v>
      </c>
      <c r="M12" s="3">
        <f t="shared" si="9"/>
        <v>5</v>
      </c>
      <c r="N12" s="3">
        <f t="shared" si="10"/>
        <v>4</v>
      </c>
      <c r="O12" s="3">
        <f t="shared" si="3"/>
        <v>0.25</v>
      </c>
      <c r="P12" s="3">
        <f t="shared" si="4"/>
        <v>0.1875</v>
      </c>
      <c r="Q12" s="3">
        <f t="shared" si="11"/>
        <v>-1</v>
      </c>
      <c r="S12" s="3">
        <f t="shared" si="12"/>
        <v>3.125E-2</v>
      </c>
    </row>
    <row r="13" spans="3:19" x14ac:dyDescent="0.55000000000000004">
      <c r="D13" s="3">
        <f t="shared" si="6"/>
        <v>6</v>
      </c>
      <c r="E13" s="3">
        <f t="shared" si="7"/>
        <v>4</v>
      </c>
      <c r="F13" s="3">
        <f t="shared" si="0"/>
        <v>0.125</v>
      </c>
      <c r="G13" s="3">
        <f t="shared" si="1"/>
        <v>0.21875</v>
      </c>
      <c r="H13" s="3">
        <f t="shared" si="2"/>
        <v>-1</v>
      </c>
      <c r="J13" s="3">
        <f t="shared" si="8"/>
        <v>1.5625E-2</v>
      </c>
      <c r="M13" s="3">
        <f t="shared" si="9"/>
        <v>6</v>
      </c>
      <c r="N13" s="3">
        <f t="shared" si="10"/>
        <v>4</v>
      </c>
      <c r="O13" s="3">
        <f t="shared" si="3"/>
        <v>0.125</v>
      </c>
      <c r="P13" s="3">
        <f t="shared" si="4"/>
        <v>0.21875</v>
      </c>
      <c r="Q13" s="3">
        <f t="shared" si="11"/>
        <v>-1</v>
      </c>
      <c r="S13" s="3">
        <f t="shared" si="12"/>
        <v>1.5625E-2</v>
      </c>
    </row>
    <row r="14" spans="3:19" x14ac:dyDescent="0.55000000000000004">
      <c r="D14" s="3">
        <f t="shared" si="6"/>
        <v>7</v>
      </c>
      <c r="E14" s="3">
        <f t="shared" si="7"/>
        <v>4</v>
      </c>
      <c r="F14" s="3">
        <f t="shared" si="0"/>
        <v>6.25E-2</v>
      </c>
      <c r="G14" s="3">
        <f t="shared" si="1"/>
        <v>0.234375</v>
      </c>
      <c r="H14" s="3">
        <f t="shared" si="2"/>
        <v>-1</v>
      </c>
      <c r="J14" s="3">
        <f t="shared" si="8"/>
        <v>7.8125E-3</v>
      </c>
      <c r="M14" s="3">
        <f t="shared" si="9"/>
        <v>7</v>
      </c>
      <c r="N14" s="3">
        <f t="shared" si="10"/>
        <v>4</v>
      </c>
      <c r="O14" s="3">
        <f t="shared" si="3"/>
        <v>6.25E-2</v>
      </c>
      <c r="P14" s="3">
        <f t="shared" si="4"/>
        <v>0.234375</v>
      </c>
      <c r="Q14" s="3">
        <f t="shared" si="11"/>
        <v>-1</v>
      </c>
      <c r="S14" s="3">
        <f t="shared" si="12"/>
        <v>7.8125E-3</v>
      </c>
    </row>
    <row r="15" spans="3:19" x14ac:dyDescent="0.55000000000000004">
      <c r="D15" s="3">
        <f t="shared" si="6"/>
        <v>8</v>
      </c>
      <c r="E15" s="3">
        <f t="shared" si="7"/>
        <v>4</v>
      </c>
      <c r="F15" s="3">
        <f t="shared" si="0"/>
        <v>3.125E-2</v>
      </c>
      <c r="G15" s="3">
        <f t="shared" si="1"/>
        <v>0.2421875</v>
      </c>
      <c r="H15" s="3">
        <f t="shared" si="2"/>
        <v>-1</v>
      </c>
      <c r="J15" s="3">
        <f t="shared" si="8"/>
        <v>3.90625E-3</v>
      </c>
      <c r="M15" s="3">
        <f t="shared" si="9"/>
        <v>8</v>
      </c>
      <c r="N15" s="3">
        <f t="shared" si="10"/>
        <v>4</v>
      </c>
      <c r="O15" s="3">
        <f t="shared" si="3"/>
        <v>3.125E-2</v>
      </c>
      <c r="P15" s="3">
        <f t="shared" si="4"/>
        <v>0.2421875</v>
      </c>
      <c r="Q15" s="3">
        <f t="shared" si="11"/>
        <v>-1</v>
      </c>
      <c r="S15" s="3">
        <f t="shared" si="12"/>
        <v>3.90625E-3</v>
      </c>
    </row>
    <row r="16" spans="3:19" x14ac:dyDescent="0.55000000000000004">
      <c r="D16" s="3">
        <f t="shared" si="6"/>
        <v>9</v>
      </c>
      <c r="E16" s="3">
        <f t="shared" si="7"/>
        <v>4</v>
      </c>
      <c r="F16" s="3">
        <f t="shared" si="0"/>
        <v>1.5625E-2</v>
      </c>
      <c r="G16" s="3">
        <f t="shared" si="1"/>
        <v>0.24609375</v>
      </c>
      <c r="H16" s="3">
        <f t="shared" si="2"/>
        <v>-1</v>
      </c>
      <c r="J16" s="3">
        <f t="shared" si="8"/>
        <v>1.953125E-3</v>
      </c>
      <c r="M16" s="3">
        <f t="shared" si="9"/>
        <v>9</v>
      </c>
      <c r="N16" s="3">
        <f t="shared" si="10"/>
        <v>4</v>
      </c>
      <c r="O16" s="3">
        <f t="shared" si="3"/>
        <v>1.5625E-2</v>
      </c>
      <c r="P16" s="3">
        <f t="shared" si="4"/>
        <v>0.24609375</v>
      </c>
      <c r="Q16" s="3">
        <f t="shared" si="11"/>
        <v>-1</v>
      </c>
      <c r="S16" s="3">
        <f t="shared" si="12"/>
        <v>1.953125E-3</v>
      </c>
    </row>
    <row r="17" spans="3:19" x14ac:dyDescent="0.55000000000000004">
      <c r="D17" s="3">
        <f t="shared" si="6"/>
        <v>10</v>
      </c>
      <c r="E17" s="3">
        <f t="shared" si="7"/>
        <v>4</v>
      </c>
      <c r="F17" s="3">
        <f t="shared" si="0"/>
        <v>7.8125E-3</v>
      </c>
      <c r="G17" s="3">
        <f t="shared" si="1"/>
        <v>0.248046875</v>
      </c>
      <c r="H17" s="3">
        <f t="shared" si="2"/>
        <v>-1</v>
      </c>
      <c r="J17" s="3">
        <f t="shared" si="8"/>
        <v>9.765625E-4</v>
      </c>
      <c r="M17" s="3">
        <f t="shared" si="9"/>
        <v>10</v>
      </c>
      <c r="N17" s="3">
        <f t="shared" si="10"/>
        <v>4</v>
      </c>
      <c r="O17" s="3">
        <f t="shared" si="3"/>
        <v>7.8125E-3</v>
      </c>
      <c r="P17" s="3">
        <f t="shared" si="4"/>
        <v>0.25</v>
      </c>
      <c r="Q17" s="3">
        <f t="shared" si="11"/>
        <v>-1</v>
      </c>
      <c r="S17" s="3">
        <f t="shared" si="12"/>
        <v>9.765625E-4</v>
      </c>
    </row>
    <row r="18" spans="3:19" x14ac:dyDescent="0.55000000000000004">
      <c r="D18" s="3">
        <f t="shared" si="6"/>
        <v>11</v>
      </c>
      <c r="E18" s="3">
        <f t="shared" si="7"/>
        <v>4</v>
      </c>
      <c r="F18" s="3">
        <f t="shared" si="0"/>
        <v>3.90625E-3</v>
      </c>
      <c r="G18" s="3">
        <f t="shared" si="1"/>
        <v>0.2490234375</v>
      </c>
      <c r="H18" s="3">
        <f t="shared" si="2"/>
        <v>-1</v>
      </c>
      <c r="J18" s="3">
        <f t="shared" si="8"/>
        <v>4.8828125E-4</v>
      </c>
      <c r="M18" s="3">
        <f t="shared" si="9"/>
        <v>11</v>
      </c>
      <c r="N18" s="3">
        <f t="shared" si="10"/>
        <v>4</v>
      </c>
      <c r="O18" s="3">
        <f t="shared" si="3"/>
        <v>3.90625E-3</v>
      </c>
      <c r="P18" s="3">
        <f t="shared" si="4"/>
        <v>0.25</v>
      </c>
      <c r="Q18" s="3">
        <f t="shared" si="11"/>
        <v>-1</v>
      </c>
      <c r="S18" s="3">
        <f t="shared" si="12"/>
        <v>4.8828125E-4</v>
      </c>
    </row>
    <row r="19" spans="3:19" x14ac:dyDescent="0.55000000000000004">
      <c r="D19" s="3">
        <f t="shared" si="6"/>
        <v>12</v>
      </c>
      <c r="E19" s="3">
        <f t="shared" si="7"/>
        <v>4</v>
      </c>
      <c r="F19" s="3">
        <f t="shared" si="0"/>
        <v>1.953125E-3</v>
      </c>
      <c r="G19" s="3">
        <f t="shared" si="1"/>
        <v>0.24951171875</v>
      </c>
      <c r="H19" s="3">
        <f t="shared" si="2"/>
        <v>-1</v>
      </c>
      <c r="J19" s="3">
        <f t="shared" si="8"/>
        <v>2.44140625E-4</v>
      </c>
      <c r="M19" s="3">
        <f t="shared" si="9"/>
        <v>12</v>
      </c>
      <c r="N19" s="3">
        <f t="shared" si="10"/>
        <v>4</v>
      </c>
      <c r="O19" s="3">
        <f t="shared" si="3"/>
        <v>0</v>
      </c>
      <c r="P19" s="3">
        <f t="shared" si="4"/>
        <v>0.25</v>
      </c>
      <c r="Q19" s="3">
        <f t="shared" si="11"/>
        <v>1</v>
      </c>
      <c r="S19" s="3">
        <f t="shared" si="12"/>
        <v>2.44140625E-4</v>
      </c>
    </row>
    <row r="20" spans="3:19" x14ac:dyDescent="0.55000000000000004">
      <c r="D20" s="3">
        <f t="shared" ref="D20:D22" si="13">D19+1</f>
        <v>13</v>
      </c>
      <c r="E20" s="3">
        <f t="shared" ref="E20:E22" si="14">E19</f>
        <v>4</v>
      </c>
      <c r="F20" s="3">
        <f t="shared" si="0"/>
        <v>9.765625E-4</v>
      </c>
      <c r="G20" s="3">
        <f t="shared" si="1"/>
        <v>0.249755859375</v>
      </c>
      <c r="H20" s="3">
        <f t="shared" ref="H20:H22" si="15">IF(F20&gt;0,-1,1)</f>
        <v>-1</v>
      </c>
      <c r="J20" s="3">
        <f t="shared" ref="J20:J22" si="16">POWER(2,-D20)</f>
        <v>1.220703125E-4</v>
      </c>
      <c r="M20" s="3">
        <f t="shared" si="9"/>
        <v>13</v>
      </c>
      <c r="N20" s="3">
        <f t="shared" si="10"/>
        <v>4</v>
      </c>
      <c r="O20" s="3">
        <f t="shared" si="3"/>
        <v>0</v>
      </c>
      <c r="P20" s="3">
        <f t="shared" si="4"/>
        <v>0.25</v>
      </c>
      <c r="Q20" s="3">
        <f t="shared" si="11"/>
        <v>1</v>
      </c>
      <c r="S20" s="3">
        <f t="shared" si="12"/>
        <v>1.220703125E-4</v>
      </c>
    </row>
    <row r="21" spans="3:19" x14ac:dyDescent="0.55000000000000004">
      <c r="D21" s="3">
        <f t="shared" si="13"/>
        <v>14</v>
      </c>
      <c r="E21" s="3">
        <f t="shared" si="14"/>
        <v>4</v>
      </c>
      <c r="F21" s="3">
        <f t="shared" si="0"/>
        <v>4.8828125E-4</v>
      </c>
      <c r="G21" s="3">
        <f t="shared" si="1"/>
        <v>0.2498779296875</v>
      </c>
      <c r="H21" s="3">
        <f t="shared" si="15"/>
        <v>-1</v>
      </c>
      <c r="J21" s="3">
        <f t="shared" si="16"/>
        <v>6.103515625E-5</v>
      </c>
      <c r="M21" s="3">
        <f t="shared" si="9"/>
        <v>14</v>
      </c>
      <c r="N21" s="3">
        <f t="shared" si="10"/>
        <v>4</v>
      </c>
      <c r="O21" s="3">
        <f t="shared" si="3"/>
        <v>0</v>
      </c>
      <c r="P21" s="3">
        <f t="shared" si="4"/>
        <v>0.25</v>
      </c>
      <c r="Q21" s="3">
        <f t="shared" si="11"/>
        <v>1</v>
      </c>
      <c r="S21" s="3">
        <f t="shared" si="12"/>
        <v>6.103515625E-5</v>
      </c>
    </row>
    <row r="22" spans="3:19" x14ac:dyDescent="0.55000000000000004">
      <c r="D22" s="3">
        <f t="shared" si="13"/>
        <v>15</v>
      </c>
      <c r="E22" s="3">
        <f t="shared" si="14"/>
        <v>4</v>
      </c>
      <c r="F22" s="3">
        <f t="shared" si="0"/>
        <v>2.44140625E-4</v>
      </c>
      <c r="G22" s="4">
        <f t="shared" si="1"/>
        <v>0.24993896484375</v>
      </c>
      <c r="H22" s="3">
        <f t="shared" si="15"/>
        <v>-1</v>
      </c>
      <c r="J22" s="3">
        <f t="shared" si="16"/>
        <v>3.0517578125E-5</v>
      </c>
      <c r="M22" s="3">
        <f t="shared" si="9"/>
        <v>15</v>
      </c>
      <c r="N22" s="3">
        <f t="shared" si="10"/>
        <v>4</v>
      </c>
      <c r="O22" s="3">
        <f t="shared" si="3"/>
        <v>0</v>
      </c>
      <c r="P22" s="3">
        <f t="shared" si="4"/>
        <v>0.25</v>
      </c>
      <c r="Q22" s="3">
        <f t="shared" si="11"/>
        <v>1</v>
      </c>
      <c r="S22" s="3">
        <f t="shared" si="12"/>
        <v>3.0517578125E-5</v>
      </c>
    </row>
    <row r="24" spans="3:19" x14ac:dyDescent="0.55000000000000004">
      <c r="F24" s="6" t="s">
        <v>9</v>
      </c>
      <c r="G24" s="5">
        <f>F7/E7</f>
        <v>0.25</v>
      </c>
    </row>
    <row r="27" spans="3:19" ht="18.3" x14ac:dyDescent="0.7">
      <c r="C27" s="7" t="s">
        <v>10</v>
      </c>
      <c r="M27" s="6" t="s">
        <v>15</v>
      </c>
    </row>
    <row r="28" spans="3:19" x14ac:dyDescent="0.55000000000000004">
      <c r="C28" s="6" t="s">
        <v>12</v>
      </c>
      <c r="M28" s="6" t="s">
        <v>16</v>
      </c>
    </row>
    <row r="29" spans="3:19" x14ac:dyDescent="0.55000000000000004">
      <c r="C29" s="6" t="s">
        <v>11</v>
      </c>
    </row>
    <row r="31" spans="3:19" x14ac:dyDescent="0.55000000000000004">
      <c r="C31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FixPtFrac</vt:lpstr>
      <vt:lpstr>PowFrac</vt:lpstr>
    </vt:vector>
  </TitlesOfParts>
  <Company>University of Oulu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Pekka Sangi</dc:creator>
  <cp:lastModifiedBy>Pekka Sangi</cp:lastModifiedBy>
  <dcterms:created xsi:type="dcterms:W3CDTF">2025-11-13T14:14:31Z</dcterms:created>
  <dcterms:modified xsi:type="dcterms:W3CDTF">2025-11-17T11:47:06Z</dcterms:modified>
</cp:coreProperties>
</file>