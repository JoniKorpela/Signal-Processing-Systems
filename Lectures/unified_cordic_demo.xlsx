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ulu-my.sharepoint.com/personal/psangi_univ_yo_oulu_fi/Documents/MyTeaching/Course_SignalProcessingSystems/2025/"/>
    </mc:Choice>
  </mc:AlternateContent>
  <xr:revisionPtr revIDLastSave="0" documentId="8_{6A37A71D-367A-4507-91CB-B9803B36791F}" xr6:coauthVersionLast="47" xr6:coauthVersionMax="47" xr10:uidLastSave="{00000000-0000-0000-0000-000000000000}"/>
  <bookViews>
    <workbookView xWindow="1155" yWindow="1950" windowWidth="27645" windowHeight="11385" xr2:uid="{00DACBEB-5600-4746-8480-8D8A5E25A82A}"/>
  </bookViews>
  <sheets>
    <sheet name="Sheet1" sheetId="1" r:id="rId1"/>
  </sheets>
  <definedNames>
    <definedName name="ALPHA">Sheet1!$I$6</definedName>
    <definedName name="AVAL">Sheet1!$D$22</definedName>
    <definedName name="BVAL">Sheet1!$D$38</definedName>
    <definedName name="EXP_ALPHA">Sheet1!$M$8</definedName>
    <definedName name="SQRT_BVAL">Sheet1!$M$40</definedName>
    <definedName name="XVALFIXED">Sheet1!$G$55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H9" i="1" s="1"/>
  <c r="D73" i="1"/>
  <c r="C73" i="1"/>
  <c r="D72" i="1"/>
  <c r="C72" i="1"/>
  <c r="C71" i="1"/>
  <c r="D71" i="1" s="1"/>
  <c r="D70" i="1"/>
  <c r="C70" i="1"/>
  <c r="C69" i="1"/>
  <c r="D69" i="1" s="1"/>
  <c r="D68" i="1"/>
  <c r="C68" i="1"/>
  <c r="D67" i="1"/>
  <c r="C67" i="1"/>
  <c r="D66" i="1"/>
  <c r="C66" i="1"/>
  <c r="H55" i="1"/>
  <c r="K58" i="1" s="1"/>
  <c r="I58" i="1" s="1"/>
  <c r="M57" i="1"/>
  <c r="G55" i="1"/>
  <c r="D65" i="1"/>
  <c r="D64" i="1"/>
  <c r="D63" i="1"/>
  <c r="D62" i="1"/>
  <c r="D61" i="1"/>
  <c r="D60" i="1"/>
  <c r="D59" i="1"/>
  <c r="D58" i="1"/>
  <c r="C61" i="1"/>
  <c r="C62" i="1" s="1"/>
  <c r="C63" i="1" s="1"/>
  <c r="C64" i="1" s="1"/>
  <c r="C65" i="1" s="1"/>
  <c r="C60" i="1"/>
  <c r="C59" i="1"/>
  <c r="M40" i="1"/>
  <c r="H38" i="1"/>
  <c r="K41" i="1" s="1"/>
  <c r="G38" i="1"/>
  <c r="N41" i="1"/>
  <c r="N42" i="1" s="1"/>
  <c r="N43" i="1" s="1"/>
  <c r="N44" i="1" s="1"/>
  <c r="N45" i="1" s="1"/>
  <c r="N46" i="1" s="1"/>
  <c r="N47" i="1" s="1"/>
  <c r="N48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H22" i="1"/>
  <c r="K25" i="1" s="1"/>
  <c r="G22" i="1"/>
  <c r="M24" i="1"/>
  <c r="O24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16" i="1"/>
  <c r="E16" i="1" s="1"/>
  <c r="M8" i="1"/>
  <c r="D15" i="1"/>
  <c r="E15" i="1" s="1"/>
  <c r="N9" i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H58" i="1" l="1"/>
  <c r="I9" i="1"/>
  <c r="K10" i="1" s="1"/>
  <c r="I10" i="1" s="1"/>
  <c r="I41" i="1"/>
  <c r="I25" i="1"/>
  <c r="G9" i="1"/>
  <c r="O44" i="1"/>
  <c r="O45" i="1"/>
  <c r="O46" i="1"/>
  <c r="O47" i="1"/>
  <c r="O48" i="1"/>
  <c r="O41" i="1"/>
  <c r="O42" i="1"/>
  <c r="O43" i="1"/>
  <c r="H41" i="1"/>
  <c r="K42" i="1" s="1"/>
  <c r="G41" i="1"/>
  <c r="G25" i="1"/>
  <c r="H25" i="1"/>
  <c r="K26" i="1" s="1"/>
  <c r="O9" i="1"/>
  <c r="N10" i="1"/>
  <c r="N11" i="1" s="1"/>
  <c r="N12" i="1" s="1"/>
  <c r="N13" i="1" s="1"/>
  <c r="N14" i="1" s="1"/>
  <c r="N15" i="1" s="1"/>
  <c r="N16" i="1" s="1"/>
  <c r="O16" i="1" s="1"/>
  <c r="K59" i="1" l="1"/>
  <c r="I59" i="1" s="1"/>
  <c r="I42" i="1"/>
  <c r="O10" i="1"/>
  <c r="O15" i="1"/>
  <c r="G42" i="1"/>
  <c r="H42" i="1"/>
  <c r="H26" i="1"/>
  <c r="K27" i="1" s="1"/>
  <c r="I26" i="1"/>
  <c r="H10" i="1"/>
  <c r="G10" i="1"/>
  <c r="O11" i="1"/>
  <c r="K11" i="1"/>
  <c r="I11" i="1" s="1"/>
  <c r="H59" i="1" l="1"/>
  <c r="K43" i="1"/>
  <c r="I43" i="1" s="1"/>
  <c r="G26" i="1"/>
  <c r="G27" i="1" s="1"/>
  <c r="G11" i="1"/>
  <c r="H11" i="1"/>
  <c r="O12" i="1"/>
  <c r="K12" i="1"/>
  <c r="I12" i="1" s="1"/>
  <c r="K60" i="1" l="1"/>
  <c r="I60" i="1" s="1"/>
  <c r="G43" i="1"/>
  <c r="H43" i="1"/>
  <c r="H27" i="1"/>
  <c r="K28" i="1" s="1"/>
  <c r="G28" i="1" s="1"/>
  <c r="I27" i="1"/>
  <c r="G12" i="1"/>
  <c r="H12" i="1"/>
  <c r="O14" i="1"/>
  <c r="O13" i="1"/>
  <c r="K13" i="1"/>
  <c r="I13" i="1" s="1"/>
  <c r="H60" i="1" l="1"/>
  <c r="K61" i="1" s="1"/>
  <c r="H61" i="1" s="1"/>
  <c r="K62" i="1" s="1"/>
  <c r="H62" i="1" s="1"/>
  <c r="K63" i="1" s="1"/>
  <c r="K44" i="1"/>
  <c r="H44" i="1" s="1"/>
  <c r="I28" i="1"/>
  <c r="H28" i="1"/>
  <c r="K29" i="1" s="1"/>
  <c r="G29" i="1" s="1"/>
  <c r="G13" i="1"/>
  <c r="K14" i="1"/>
  <c r="H13" i="1"/>
  <c r="I61" i="1" l="1"/>
  <c r="I62" i="1" s="1"/>
  <c r="I63" i="1" s="1"/>
  <c r="H63" i="1"/>
  <c r="K45" i="1"/>
  <c r="G44" i="1"/>
  <c r="I44" i="1"/>
  <c r="H29" i="1"/>
  <c r="K30" i="1" s="1"/>
  <c r="G30" i="1" s="1"/>
  <c r="I29" i="1"/>
  <c r="G14" i="1"/>
  <c r="H14" i="1"/>
  <c r="I14" i="1"/>
  <c r="K15" i="1" s="1"/>
  <c r="I15" i="1" s="1"/>
  <c r="K16" i="1" s="1"/>
  <c r="I16" i="1" s="1"/>
  <c r="K64" i="1" l="1"/>
  <c r="I64" i="1" s="1"/>
  <c r="G45" i="1"/>
  <c r="H45" i="1"/>
  <c r="K46" i="1" s="1"/>
  <c r="I45" i="1"/>
  <c r="I46" i="1" s="1"/>
  <c r="I30" i="1"/>
  <c r="H30" i="1"/>
  <c r="K31" i="1" s="1"/>
  <c r="G31" i="1" s="1"/>
  <c r="G15" i="1"/>
  <c r="H15" i="1"/>
  <c r="H16" i="1" l="1"/>
  <c r="H64" i="1"/>
  <c r="K65" i="1" s="1"/>
  <c r="I65" i="1"/>
  <c r="H65" i="1"/>
  <c r="G16" i="1"/>
  <c r="G46" i="1"/>
  <c r="H46" i="1"/>
  <c r="K47" i="1" s="1"/>
  <c r="H31" i="1"/>
  <c r="K32" i="1" s="1"/>
  <c r="G32" i="1" s="1"/>
  <c r="I31" i="1"/>
  <c r="K66" i="1" l="1"/>
  <c r="I66" i="1" s="1"/>
  <c r="H66" i="1"/>
  <c r="G47" i="1"/>
  <c r="H47" i="1"/>
  <c r="I47" i="1"/>
  <c r="H32" i="1"/>
  <c r="I32" i="1"/>
  <c r="K67" i="1" l="1"/>
  <c r="I67" i="1" s="1"/>
  <c r="H67" i="1"/>
  <c r="K48" i="1"/>
  <c r="G48" i="1" s="1"/>
  <c r="K68" i="1" l="1"/>
  <c r="H68" i="1" s="1"/>
  <c r="H48" i="1"/>
  <c r="I48" i="1"/>
  <c r="K69" i="1" l="1"/>
  <c r="H69" i="1" s="1"/>
  <c r="I68" i="1"/>
  <c r="K70" i="1" l="1"/>
  <c r="I70" i="1" s="1"/>
  <c r="I69" i="1"/>
  <c r="H70" i="1" l="1"/>
  <c r="K71" i="1" l="1"/>
  <c r="I71" i="1" s="1"/>
  <c r="H71" i="1"/>
  <c r="K72" i="1" s="1"/>
  <c r="H72" i="1" s="1"/>
  <c r="K73" i="1" l="1"/>
  <c r="I73" i="1" s="1"/>
  <c r="I72" i="1"/>
  <c r="H73" i="1" l="1"/>
</calcChain>
</file>

<file path=xl/sharedStrings.xml><?xml version="1.0" encoding="utf-8"?>
<sst xmlns="http://schemas.openxmlformats.org/spreadsheetml/2006/main" count="71" uniqueCount="40">
  <si>
    <t>i</t>
  </si>
  <si>
    <t>(2^-i)</t>
  </si>
  <si>
    <t>arctanh</t>
  </si>
  <si>
    <t>x</t>
  </si>
  <si>
    <t>y</t>
  </si>
  <si>
    <t>alpha</t>
  </si>
  <si>
    <t>d_i</t>
  </si>
  <si>
    <t>z</t>
  </si>
  <si>
    <t>A_i</t>
  </si>
  <si>
    <t>A_i * exp(z)</t>
  </si>
  <si>
    <t>CORDIC stage outputs</t>
  </si>
  <si>
    <t>init:</t>
  </si>
  <si>
    <t>Computing exp(alpha)</t>
  </si>
  <si>
    <t>exp(alpha)</t>
  </si>
  <si>
    <t>Computing log(a)</t>
  </si>
  <si>
    <t>a:</t>
  </si>
  <si>
    <t>log(a)</t>
  </si>
  <si>
    <t>(1/2) log(a)</t>
  </si>
  <si>
    <t>a-1</t>
  </si>
  <si>
    <t>a+1</t>
  </si>
  <si>
    <t>Computing sqrt(b)</t>
  </si>
  <si>
    <t>b:</t>
  </si>
  <si>
    <t>a+1/4</t>
  </si>
  <si>
    <t>a-1/4</t>
  </si>
  <si>
    <t>A_i * sqrt(b)</t>
  </si>
  <si>
    <t>sqrt(b)</t>
  </si>
  <si>
    <t>Values in column O match with column G (and H too)</t>
  </si>
  <si>
    <t>Value in cell O21 matches with column I (z)</t>
  </si>
  <si>
    <t>REFERENCE</t>
  </si>
  <si>
    <t>decision</t>
  </si>
  <si>
    <t>i=0 not</t>
  </si>
  <si>
    <t>possible</t>
  </si>
  <si>
    <t>Note:</t>
  </si>
  <si>
    <t>This Excel file demonstrates use of Unified Cordic to compute various functions</t>
  </si>
  <si>
    <t>Discussed in one slide of Lecture 7</t>
  </si>
  <si>
    <t>Values in column O match with column G</t>
  </si>
  <si>
    <t>Division y/x</t>
  </si>
  <si>
    <t>x:</t>
  </si>
  <si>
    <t>y:</t>
  </si>
  <si>
    <t>y/x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</si>
</sst>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623E-74B5-4A2E-B308-3A079BB5524F}">
  <dimension ref="B2:Q73"/>
  <sheetViews>
    <sheetView tabSelected="1" topLeftCell="A5" workbookViewId="0">
      <selection activeCell="K10" sqref="K10"/>
    </sheetView>
  </sheetViews>
  <sheetFormatPr defaultRowHeight="15" x14ac:dyDescent="0.25"/>
  <cols>
    <col min="13" max="13" width="12.5703125" customWidth="1"/>
    <col min="15" max="15" width="15" customWidth="1"/>
  </cols>
  <sheetData>
    <row r="2" spans="2:17" x14ac:dyDescent="0.25">
      <c r="C2" s="15" t="s">
        <v>33</v>
      </c>
    </row>
    <row r="3" spans="2:17" x14ac:dyDescent="0.25">
      <c r="C3" s="15" t="s">
        <v>34</v>
      </c>
    </row>
    <row r="5" spans="2:17" ht="24" x14ac:dyDescent="0.4">
      <c r="C5" s="14" t="s">
        <v>12</v>
      </c>
      <c r="G5" s="3" t="s">
        <v>3</v>
      </c>
      <c r="H5" s="3" t="s">
        <v>4</v>
      </c>
      <c r="I5" s="3" t="s">
        <v>5</v>
      </c>
    </row>
    <row r="6" spans="2:17" x14ac:dyDescent="0.25">
      <c r="F6" s="5" t="s">
        <v>11</v>
      </c>
      <c r="G6" s="7">
        <v>1</v>
      </c>
      <c r="H6" s="8">
        <v>1</v>
      </c>
      <c r="I6" s="9">
        <v>0.8</v>
      </c>
      <c r="M6" t="s">
        <v>28</v>
      </c>
    </row>
    <row r="7" spans="2:17" x14ac:dyDescent="0.25">
      <c r="G7" s="4" t="s">
        <v>10</v>
      </c>
      <c r="K7" t="s">
        <v>29</v>
      </c>
      <c r="M7" s="3" t="s">
        <v>13</v>
      </c>
    </row>
    <row r="8" spans="2:17" x14ac:dyDescent="0.25">
      <c r="B8" s="6" t="s">
        <v>32</v>
      </c>
      <c r="C8" s="3" t="s">
        <v>0</v>
      </c>
      <c r="D8" s="3" t="s">
        <v>1</v>
      </c>
      <c r="E8" s="3" t="s">
        <v>2</v>
      </c>
      <c r="G8" s="3" t="s">
        <v>3</v>
      </c>
      <c r="H8" s="3" t="s">
        <v>4</v>
      </c>
      <c r="I8" s="3" t="s">
        <v>7</v>
      </c>
      <c r="K8" s="3" t="s">
        <v>6</v>
      </c>
      <c r="M8" s="18">
        <f>EXP(ALPHA)</f>
        <v>2.2255409284924679</v>
      </c>
      <c r="N8" s="3" t="s">
        <v>8</v>
      </c>
      <c r="O8" s="3" t="s">
        <v>9</v>
      </c>
    </row>
    <row r="9" spans="2:17" x14ac:dyDescent="0.25">
      <c r="B9" s="6" t="s">
        <v>30</v>
      </c>
      <c r="C9" s="1">
        <v>1</v>
      </c>
      <c r="D9" s="1">
        <f t="shared" ref="D9:D16" si="0">2^(-C9)</f>
        <v>0.5</v>
      </c>
      <c r="E9">
        <f t="shared" ref="E9:E16" si="1">0.5*LOG((1+D9)/(1-D9),2.7182818)</f>
        <v>0.54930615008501427</v>
      </c>
      <c r="G9" s="10">
        <f>G6+K9*H6*D9</f>
        <v>1.5</v>
      </c>
      <c r="H9" s="1">
        <f>H6+K9*G6*D9</f>
        <v>1.5</v>
      </c>
      <c r="I9">
        <f>I6-K9*E9</f>
        <v>0.25069384991498578</v>
      </c>
      <c r="K9" s="1">
        <f>IF(I6&gt;=0,1,-1)</f>
        <v>1</v>
      </c>
      <c r="N9">
        <f>1*(SQRT(1-POWER(2,-2*C9)))</f>
        <v>0.8660254037844386</v>
      </c>
      <c r="O9" s="10">
        <f t="shared" ref="O9:O16" si="2">N9*EXP_ALPHA</f>
        <v>1.927374981236484</v>
      </c>
    </row>
    <row r="10" spans="2:17" x14ac:dyDescent="0.25">
      <c r="B10" s="6" t="s">
        <v>31</v>
      </c>
      <c r="C10" s="1">
        <v>2</v>
      </c>
      <c r="D10" s="1">
        <f t="shared" si="0"/>
        <v>0.25</v>
      </c>
      <c r="E10">
        <f t="shared" si="1"/>
        <v>0.25541281455703924</v>
      </c>
      <c r="G10" s="10">
        <f t="shared" ref="G10:G14" si="3">G9+K10*H9*D10</f>
        <v>1.875</v>
      </c>
      <c r="H10" s="1">
        <f t="shared" ref="H10:H14" si="4">H9+K10*G9*D10</f>
        <v>1.875</v>
      </c>
      <c r="I10">
        <f t="shared" ref="I10:I16" si="5">I9-K10*E10</f>
        <v>-4.7189646420534581E-3</v>
      </c>
      <c r="K10" s="1">
        <f t="shared" ref="K10:K16" si="6">IF(I9&gt;=0,1,-1)</f>
        <v>1</v>
      </c>
      <c r="N10">
        <f t="shared" ref="N10:N14" si="7">N9*(SQRT(1-POWER(2,-2*C10)))</f>
        <v>0.83852549156242107</v>
      </c>
      <c r="O10" s="10">
        <f t="shared" si="2"/>
        <v>1.8661728010564336</v>
      </c>
    </row>
    <row r="11" spans="2:17" x14ac:dyDescent="0.25">
      <c r="C11" s="1">
        <v>3</v>
      </c>
      <c r="D11" s="1">
        <f t="shared" si="0"/>
        <v>0.125</v>
      </c>
      <c r="E11">
        <f t="shared" si="1"/>
        <v>0.12565721545602099</v>
      </c>
      <c r="G11" s="10">
        <f t="shared" si="3"/>
        <v>1.640625</v>
      </c>
      <c r="H11" s="1">
        <f t="shared" si="4"/>
        <v>1.640625</v>
      </c>
      <c r="I11">
        <f t="shared" si="5"/>
        <v>0.12093825081396753</v>
      </c>
      <c r="K11" s="1">
        <f t="shared" si="6"/>
        <v>-1</v>
      </c>
      <c r="N11">
        <f t="shared" si="7"/>
        <v>0.83194871949838345</v>
      </c>
      <c r="O11" s="10">
        <f t="shared" si="2"/>
        <v>1.8515359256505519</v>
      </c>
    </row>
    <row r="12" spans="2:17" x14ac:dyDescent="0.25">
      <c r="C12" s="1">
        <v>4</v>
      </c>
      <c r="D12" s="1">
        <f t="shared" si="0"/>
        <v>6.25E-2</v>
      </c>
      <c r="E12">
        <f t="shared" si="1"/>
        <v>6.2581572132200614E-2</v>
      </c>
      <c r="G12" s="10">
        <f t="shared" si="3"/>
        <v>1.7431640625</v>
      </c>
      <c r="H12" s="1">
        <f t="shared" si="4"/>
        <v>1.7431640625</v>
      </c>
      <c r="I12">
        <f t="shared" si="5"/>
        <v>5.8356678681766916E-2</v>
      </c>
      <c r="K12" s="1">
        <f t="shared" si="6"/>
        <v>1</v>
      </c>
      <c r="N12">
        <f t="shared" si="7"/>
        <v>0.83032222973252268</v>
      </c>
      <c r="O12" s="10">
        <f t="shared" si="2"/>
        <v>1.8479161061068548</v>
      </c>
    </row>
    <row r="13" spans="2:17" x14ac:dyDescent="0.25">
      <c r="C13" s="1">
        <v>5</v>
      </c>
      <c r="D13" s="1">
        <f t="shared" si="0"/>
        <v>3.125E-2</v>
      </c>
      <c r="E13">
        <f t="shared" si="1"/>
        <v>3.1260178817945329E-2</v>
      </c>
      <c r="G13" s="10">
        <f t="shared" si="3"/>
        <v>1.797637939453125</v>
      </c>
      <c r="H13" s="1">
        <f t="shared" si="4"/>
        <v>1.797637939453125</v>
      </c>
      <c r="I13">
        <f t="shared" si="5"/>
        <v>2.7096499863821587E-2</v>
      </c>
      <c r="K13" s="1">
        <f t="shared" si="6"/>
        <v>1</v>
      </c>
      <c r="N13">
        <f t="shared" si="7"/>
        <v>0.82991669992580241</v>
      </c>
      <c r="O13" s="10">
        <f t="shared" si="2"/>
        <v>1.8470135829242751</v>
      </c>
    </row>
    <row r="14" spans="2:17" x14ac:dyDescent="0.25">
      <c r="C14" s="1">
        <v>6</v>
      </c>
      <c r="D14" s="1">
        <f t="shared" si="0"/>
        <v>1.5625E-2</v>
      </c>
      <c r="E14">
        <f t="shared" si="1"/>
        <v>1.5626271915651482E-2</v>
      </c>
      <c r="G14" s="10">
        <f t="shared" si="3"/>
        <v>1.8257260322570801</v>
      </c>
      <c r="H14" s="1">
        <f t="shared" si="4"/>
        <v>1.8257260322570801</v>
      </c>
      <c r="I14">
        <f t="shared" si="5"/>
        <v>1.1470227948170104E-2</v>
      </c>
      <c r="K14" s="1">
        <f t="shared" si="6"/>
        <v>1</v>
      </c>
      <c r="N14">
        <f t="shared" si="7"/>
        <v>0.82981538555077738</v>
      </c>
      <c r="O14" s="10">
        <f t="shared" si="2"/>
        <v>1.8467881036360123</v>
      </c>
    </row>
    <row r="15" spans="2:17" x14ac:dyDescent="0.25">
      <c r="C15" s="1">
        <v>7</v>
      </c>
      <c r="D15" s="1">
        <f t="shared" si="0"/>
        <v>7.8125E-3</v>
      </c>
      <c r="E15">
        <f t="shared" si="1"/>
        <v>7.8126590333350218E-3</v>
      </c>
      <c r="G15" s="10">
        <f t="shared" ref="G15" si="8">G14+K15*H14*D15</f>
        <v>1.8399895168840885</v>
      </c>
      <c r="H15" s="1">
        <f t="shared" ref="H15" si="9">H14+K15*G14*D15</f>
        <v>1.8399895168840885</v>
      </c>
      <c r="I15">
        <f t="shared" si="5"/>
        <v>3.6575689148350826E-3</v>
      </c>
      <c r="K15" s="1">
        <f t="shared" si="6"/>
        <v>1</v>
      </c>
      <c r="N15">
        <f t="shared" ref="N15" si="10">N14*(SQRT(1-POWER(2,-2*C15)))</f>
        <v>0.82979006120849486</v>
      </c>
      <c r="O15" s="10">
        <f t="shared" si="2"/>
        <v>1.8467317432757755</v>
      </c>
    </row>
    <row r="16" spans="2:17" x14ac:dyDescent="0.25">
      <c r="C16" s="1">
        <v>8</v>
      </c>
      <c r="D16" s="1">
        <f t="shared" si="0"/>
        <v>3.90625E-3</v>
      </c>
      <c r="E16">
        <f t="shared" si="1"/>
        <v>3.9062699092934959E-3</v>
      </c>
      <c r="G16" s="16">
        <f t="shared" ref="G16" si="11">G15+K16*H15*D16</f>
        <v>1.847176975934417</v>
      </c>
      <c r="H16" s="13">
        <f t="shared" ref="H16" si="12">H15+K16*G15*D16</f>
        <v>1.847176975934417</v>
      </c>
      <c r="I16">
        <f t="shared" si="5"/>
        <v>-2.4870099445841332E-4</v>
      </c>
      <c r="K16" s="1">
        <f t="shared" si="6"/>
        <v>1</v>
      </c>
      <c r="N16">
        <f t="shared" ref="N16" si="13">N15*(SQRT(1-POWER(2,-2*C16)))</f>
        <v>0.82978373038858955</v>
      </c>
      <c r="O16" s="16">
        <f t="shared" si="2"/>
        <v>1.8467176537769652</v>
      </c>
      <c r="Q16" s="6" t="s">
        <v>26</v>
      </c>
    </row>
    <row r="20" spans="3:17" ht="24" x14ac:dyDescent="0.4">
      <c r="C20" s="14" t="s">
        <v>14</v>
      </c>
    </row>
    <row r="21" spans="3:17" x14ac:dyDescent="0.25">
      <c r="G21" s="1" t="s">
        <v>19</v>
      </c>
      <c r="H21" s="1" t="s">
        <v>18</v>
      </c>
      <c r="I21" s="1" t="s">
        <v>7</v>
      </c>
    </row>
    <row r="22" spans="3:17" x14ac:dyDescent="0.25">
      <c r="C22" s="5" t="s">
        <v>15</v>
      </c>
      <c r="D22" s="2">
        <v>0.9</v>
      </c>
      <c r="F22" s="5" t="s">
        <v>11</v>
      </c>
      <c r="G22" s="1">
        <f>AVAL+1</f>
        <v>1.9</v>
      </c>
      <c r="H22" s="1">
        <f>AVAL-1</f>
        <v>-9.9999999999999978E-2</v>
      </c>
      <c r="I22" s="1">
        <v>0</v>
      </c>
      <c r="M22" t="s">
        <v>28</v>
      </c>
    </row>
    <row r="23" spans="3:17" x14ac:dyDescent="0.25">
      <c r="G23" s="4" t="s">
        <v>10</v>
      </c>
      <c r="M23" s="3" t="s">
        <v>16</v>
      </c>
      <c r="O23" s="3" t="s">
        <v>17</v>
      </c>
    </row>
    <row r="24" spans="3:17" x14ac:dyDescent="0.25">
      <c r="C24" s="3" t="s">
        <v>0</v>
      </c>
      <c r="D24" s="3" t="s">
        <v>1</v>
      </c>
      <c r="E24" s="3" t="s">
        <v>2</v>
      </c>
      <c r="G24" s="3" t="s">
        <v>3</v>
      </c>
      <c r="H24" s="3" t="s">
        <v>4</v>
      </c>
      <c r="I24" s="3" t="s">
        <v>7</v>
      </c>
      <c r="K24" s="3" t="s">
        <v>6</v>
      </c>
      <c r="M24" s="18">
        <f>LOG(AVAL,2.7182818)</f>
        <v>-0.10536051676089796</v>
      </c>
      <c r="O24" s="10">
        <f>0.5*M24</f>
        <v>-5.2680258380448979E-2</v>
      </c>
      <c r="Q24" s="6" t="s">
        <v>27</v>
      </c>
    </row>
    <row r="25" spans="3:17" x14ac:dyDescent="0.25">
      <c r="C25" s="1">
        <v>1</v>
      </c>
      <c r="D25" s="1">
        <f t="shared" ref="D25:D32" si="14">2^(-C25)</f>
        <v>0.5</v>
      </c>
      <c r="E25">
        <f t="shared" ref="E25:E32" si="15">0.5*LOG((1+D25)/(1-D25),2.7182818)</f>
        <v>0.54930615008501427</v>
      </c>
      <c r="G25" s="1">
        <f>G22+K25*H22*D25</f>
        <v>1.8499999999999999</v>
      </c>
      <c r="H25" s="1">
        <f>H22+K25*G22*D25</f>
        <v>0.85</v>
      </c>
      <c r="I25" s="11">
        <f>I22-K25*E25</f>
        <v>-0.54930615008501427</v>
      </c>
      <c r="K25" s="1">
        <f>IF(H22&gt;=0,-1,1)</f>
        <v>1</v>
      </c>
    </row>
    <row r="26" spans="3:17" x14ac:dyDescent="0.25">
      <c r="C26" s="1">
        <v>2</v>
      </c>
      <c r="D26" s="1">
        <f t="shared" si="14"/>
        <v>0.25</v>
      </c>
      <c r="E26">
        <f t="shared" si="15"/>
        <v>0.25541281455703924</v>
      </c>
      <c r="G26" s="1">
        <f t="shared" ref="G26:G32" si="16">G25+K26*H25*D26</f>
        <v>1.6375</v>
      </c>
      <c r="H26" s="1">
        <f t="shared" ref="H26:H32" si="17">H25+K26*G25*D26</f>
        <v>0.38750000000000001</v>
      </c>
      <c r="I26" s="11">
        <f t="shared" ref="I26:I32" si="18">I25-K26*E26</f>
        <v>-0.29389333552797503</v>
      </c>
      <c r="K26" s="1">
        <f>IF(H25&gt;=0,-1,1)</f>
        <v>-1</v>
      </c>
    </row>
    <row r="27" spans="3:17" x14ac:dyDescent="0.25">
      <c r="C27" s="1">
        <v>3</v>
      </c>
      <c r="D27" s="1">
        <f t="shared" si="14"/>
        <v>0.125</v>
      </c>
      <c r="E27">
        <f t="shared" si="15"/>
        <v>0.12565721545602099</v>
      </c>
      <c r="G27" s="1">
        <f t="shared" si="16"/>
        <v>1.5890625</v>
      </c>
      <c r="H27" s="1">
        <f t="shared" si="17"/>
        <v>0.18281250000000002</v>
      </c>
      <c r="I27" s="11">
        <f t="shared" si="18"/>
        <v>-0.16823612007195404</v>
      </c>
      <c r="K27" s="1">
        <f t="shared" ref="K27:K32" si="19">IF(H26&gt;=0,-1,1)</f>
        <v>-1</v>
      </c>
    </row>
    <row r="28" spans="3:17" x14ac:dyDescent="0.25">
      <c r="C28" s="1">
        <v>4</v>
      </c>
      <c r="D28" s="1">
        <f t="shared" si="14"/>
        <v>6.25E-2</v>
      </c>
      <c r="E28">
        <f t="shared" si="15"/>
        <v>6.2581572132200614E-2</v>
      </c>
      <c r="G28" s="1">
        <f t="shared" si="16"/>
        <v>1.57763671875</v>
      </c>
      <c r="H28" s="1">
        <f t="shared" si="17"/>
        <v>8.3496093750000014E-2</v>
      </c>
      <c r="I28" s="11">
        <f t="shared" si="18"/>
        <v>-0.10565454793975343</v>
      </c>
      <c r="K28" s="1">
        <f t="shared" si="19"/>
        <v>-1</v>
      </c>
    </row>
    <row r="29" spans="3:17" x14ac:dyDescent="0.25">
      <c r="C29" s="1">
        <v>5</v>
      </c>
      <c r="D29" s="1">
        <f t="shared" si="14"/>
        <v>3.125E-2</v>
      </c>
      <c r="E29">
        <f t="shared" si="15"/>
        <v>3.1260178817945329E-2</v>
      </c>
      <c r="G29" s="1">
        <f t="shared" si="16"/>
        <v>1.5750274658203125</v>
      </c>
      <c r="H29" s="1">
        <f t="shared" si="17"/>
        <v>3.4194946289062514E-2</v>
      </c>
      <c r="I29" s="11">
        <f t="shared" si="18"/>
        <v>-7.4394369121808107E-2</v>
      </c>
      <c r="K29" s="1">
        <f t="shared" si="19"/>
        <v>-1</v>
      </c>
    </row>
    <row r="30" spans="3:17" x14ac:dyDescent="0.25">
      <c r="C30" s="1">
        <v>6</v>
      </c>
      <c r="D30" s="1">
        <f t="shared" si="14"/>
        <v>1.5625E-2</v>
      </c>
      <c r="E30">
        <f t="shared" si="15"/>
        <v>1.5626271915651482E-2</v>
      </c>
      <c r="G30" s="1">
        <f t="shared" si="16"/>
        <v>1.5744931697845459</v>
      </c>
      <c r="H30" s="1">
        <f t="shared" si="17"/>
        <v>9.5851421356201311E-3</v>
      </c>
      <c r="I30" s="11">
        <f t="shared" si="18"/>
        <v>-5.8768097206156625E-2</v>
      </c>
      <c r="K30" s="1">
        <f t="shared" si="19"/>
        <v>-1</v>
      </c>
    </row>
    <row r="31" spans="3:17" x14ac:dyDescent="0.25">
      <c r="C31" s="1">
        <v>7</v>
      </c>
      <c r="D31" s="1">
        <f t="shared" si="14"/>
        <v>7.8125E-3</v>
      </c>
      <c r="E31">
        <f t="shared" si="15"/>
        <v>7.8126590333350218E-3</v>
      </c>
      <c r="G31" s="1">
        <f t="shared" si="16"/>
        <v>1.5744182858616114</v>
      </c>
      <c r="H31" s="1">
        <f t="shared" si="17"/>
        <v>-2.7155857533216338E-3</v>
      </c>
      <c r="I31" s="11">
        <f t="shared" si="18"/>
        <v>-5.0955438172821603E-2</v>
      </c>
      <c r="K31" s="1">
        <f t="shared" si="19"/>
        <v>-1</v>
      </c>
    </row>
    <row r="32" spans="3:17" x14ac:dyDescent="0.25">
      <c r="C32" s="1">
        <v>8</v>
      </c>
      <c r="D32" s="1">
        <f t="shared" si="14"/>
        <v>3.90625E-3</v>
      </c>
      <c r="E32">
        <f t="shared" si="15"/>
        <v>3.9062699092934959E-3</v>
      </c>
      <c r="G32" s="1">
        <f t="shared" si="16"/>
        <v>1.5744076781047625</v>
      </c>
      <c r="H32" s="1">
        <f t="shared" si="17"/>
        <v>3.4344856758252856E-3</v>
      </c>
      <c r="I32" s="17">
        <f t="shared" si="18"/>
        <v>-5.4861708082115102E-2</v>
      </c>
      <c r="K32" s="1">
        <f t="shared" si="19"/>
        <v>1</v>
      </c>
    </row>
    <row r="36" spans="3:17" ht="24" x14ac:dyDescent="0.4">
      <c r="C36" s="14" t="s">
        <v>20</v>
      </c>
    </row>
    <row r="37" spans="3:17" x14ac:dyDescent="0.25">
      <c r="G37" s="1" t="s">
        <v>22</v>
      </c>
      <c r="H37" s="1" t="s">
        <v>23</v>
      </c>
      <c r="I37" s="1" t="s">
        <v>7</v>
      </c>
    </row>
    <row r="38" spans="3:17" x14ac:dyDescent="0.25">
      <c r="C38" s="5" t="s">
        <v>21</v>
      </c>
      <c r="D38" s="2">
        <v>1.5</v>
      </c>
      <c r="F38" s="5" t="s">
        <v>11</v>
      </c>
      <c r="G38" s="1">
        <f>BVAL+0.25</f>
        <v>1.75</v>
      </c>
      <c r="H38" s="1">
        <f>BVAL-0.25</f>
        <v>1.25</v>
      </c>
      <c r="I38" s="1">
        <v>0</v>
      </c>
      <c r="M38" t="s">
        <v>28</v>
      </c>
    </row>
    <row r="39" spans="3:17" x14ac:dyDescent="0.25">
      <c r="M39" s="3" t="s">
        <v>25</v>
      </c>
    </row>
    <row r="40" spans="3:17" x14ac:dyDescent="0.25">
      <c r="C40" s="3" t="s">
        <v>0</v>
      </c>
      <c r="D40" s="3" t="s">
        <v>1</v>
      </c>
      <c r="E40" s="3" t="s">
        <v>2</v>
      </c>
      <c r="G40" s="3" t="s">
        <v>3</v>
      </c>
      <c r="H40" s="3" t="s">
        <v>4</v>
      </c>
      <c r="I40" s="3" t="s">
        <v>7</v>
      </c>
      <c r="K40" s="3" t="s">
        <v>6</v>
      </c>
      <c r="M40" s="18">
        <f>SQRT(BVAL)</f>
        <v>1.2247448713915889</v>
      </c>
      <c r="N40" s="3" t="s">
        <v>8</v>
      </c>
      <c r="O40" s="3" t="s">
        <v>24</v>
      </c>
    </row>
    <row r="41" spans="3:17" x14ac:dyDescent="0.25">
      <c r="C41" s="1">
        <v>1</v>
      </c>
      <c r="D41" s="1">
        <f t="shared" ref="D41:D48" si="20">2^(-C41)</f>
        <v>0.5</v>
      </c>
      <c r="E41">
        <f t="shared" ref="E41:E48" si="21">0.5*LOG((1+D41)/(1-D41),2.7182818)</f>
        <v>0.54930615008501427</v>
      </c>
      <c r="G41" s="10">
        <f>G38+K41*H38*D41</f>
        <v>1.125</v>
      </c>
      <c r="H41" s="1">
        <f>H38+K41*G38*D41</f>
        <v>0.375</v>
      </c>
      <c r="I41">
        <f>I38-K41*E41</f>
        <v>0.54930615008501427</v>
      </c>
      <c r="K41" s="1">
        <f>IF(H38&gt;=0,-1,1)</f>
        <v>-1</v>
      </c>
      <c r="N41">
        <f>1*(SQRT(1-POWER(2,-2*C41)))</f>
        <v>0.8660254037844386</v>
      </c>
      <c r="O41" s="10">
        <f t="shared" ref="O41:O48" si="22">N41*SQRT_BVAL</f>
        <v>1.0606601717798212</v>
      </c>
    </row>
    <row r="42" spans="3:17" x14ac:dyDescent="0.25">
      <c r="C42" s="1">
        <v>2</v>
      </c>
      <c r="D42" s="1">
        <f t="shared" si="20"/>
        <v>0.25</v>
      </c>
      <c r="E42">
        <f t="shared" si="21"/>
        <v>0.25541281455703924</v>
      </c>
      <c r="G42" s="10">
        <f t="shared" ref="G42:G48" si="23">G41+K42*H41*D42</f>
        <v>1.03125</v>
      </c>
      <c r="H42" s="1">
        <f t="shared" ref="H42:H48" si="24">H41+K42*G41*D42</f>
        <v>9.375E-2</v>
      </c>
      <c r="I42">
        <f t="shared" ref="I42:I48" si="25">I41-K42*E42</f>
        <v>0.8047189646420535</v>
      </c>
      <c r="K42" s="1">
        <f>IF(H41&gt;=0,-1,1)</f>
        <v>-1</v>
      </c>
      <c r="N42">
        <f t="shared" ref="N42:N48" si="26">N41*(SQRT(1-POWER(2,-2*C42)))</f>
        <v>0.83852549156242107</v>
      </c>
      <c r="O42" s="10">
        <f t="shared" si="22"/>
        <v>1.0269797953221862</v>
      </c>
    </row>
    <row r="43" spans="3:17" x14ac:dyDescent="0.25">
      <c r="C43" s="1">
        <v>3</v>
      </c>
      <c r="D43" s="1">
        <f t="shared" si="20"/>
        <v>0.125</v>
      </c>
      <c r="E43">
        <f t="shared" si="21"/>
        <v>0.12565721545602099</v>
      </c>
      <c r="G43" s="10">
        <f t="shared" si="23"/>
        <v>1.01953125</v>
      </c>
      <c r="H43" s="1">
        <f t="shared" si="24"/>
        <v>-3.515625E-2</v>
      </c>
      <c r="I43">
        <f t="shared" si="25"/>
        <v>0.93037618009807455</v>
      </c>
      <c r="K43" s="1">
        <f t="shared" ref="K43:K48" si="27">IF(H42&gt;=0,-1,1)</f>
        <v>-1</v>
      </c>
      <c r="N43">
        <f t="shared" si="26"/>
        <v>0.83194871949838345</v>
      </c>
      <c r="O43" s="10">
        <f t="shared" si="22"/>
        <v>1.0189249274664447</v>
      </c>
    </row>
    <row r="44" spans="3:17" x14ac:dyDescent="0.25">
      <c r="C44" s="1">
        <v>4</v>
      </c>
      <c r="D44" s="1">
        <f t="shared" si="20"/>
        <v>6.25E-2</v>
      </c>
      <c r="E44">
        <f t="shared" si="21"/>
        <v>6.2581572132200614E-2</v>
      </c>
      <c r="G44" s="10">
        <f t="shared" si="23"/>
        <v>1.017333984375</v>
      </c>
      <c r="H44" s="1">
        <f t="shared" si="24"/>
        <v>2.8564453125E-2</v>
      </c>
      <c r="I44">
        <f t="shared" si="25"/>
        <v>0.86779460796587393</v>
      </c>
      <c r="K44" s="1">
        <f t="shared" si="27"/>
        <v>1</v>
      </c>
      <c r="N44">
        <f t="shared" si="26"/>
        <v>0.83032222973252268</v>
      </c>
      <c r="O44" s="10">
        <f t="shared" si="22"/>
        <v>1.0169328924673358</v>
      </c>
    </row>
    <row r="45" spans="3:17" x14ac:dyDescent="0.25">
      <c r="C45" s="1">
        <v>5</v>
      </c>
      <c r="D45" s="1">
        <f t="shared" si="20"/>
        <v>3.125E-2</v>
      </c>
      <c r="E45">
        <f t="shared" si="21"/>
        <v>3.1260178817945329E-2</v>
      </c>
      <c r="G45" s="10">
        <f t="shared" si="23"/>
        <v>1.0164413452148438</v>
      </c>
      <c r="H45" s="1">
        <f t="shared" si="24"/>
        <v>-3.22723388671875E-3</v>
      </c>
      <c r="I45">
        <f t="shared" si="25"/>
        <v>0.89905478678381923</v>
      </c>
      <c r="K45" s="1">
        <f t="shared" si="27"/>
        <v>-1</v>
      </c>
      <c r="N45">
        <f t="shared" si="26"/>
        <v>0.82991669992580241</v>
      </c>
      <c r="O45" s="10">
        <f t="shared" si="22"/>
        <v>1.0164362219163587</v>
      </c>
    </row>
    <row r="46" spans="3:17" x14ac:dyDescent="0.25">
      <c r="C46" s="1">
        <v>6</v>
      </c>
      <c r="D46" s="1">
        <f t="shared" si="20"/>
        <v>1.5625E-2</v>
      </c>
      <c r="E46">
        <f t="shared" si="21"/>
        <v>1.5626271915651482E-2</v>
      </c>
      <c r="G46" s="10">
        <f t="shared" si="23"/>
        <v>1.0163909196853638</v>
      </c>
      <c r="H46" s="1">
        <f t="shared" si="24"/>
        <v>1.2654662132263184E-2</v>
      </c>
      <c r="I46">
        <f t="shared" si="25"/>
        <v>0.88342851486816776</v>
      </c>
      <c r="K46" s="1">
        <f t="shared" si="27"/>
        <v>1</v>
      </c>
      <c r="N46">
        <f t="shared" si="26"/>
        <v>0.82981538555077738</v>
      </c>
      <c r="O46" s="10">
        <f t="shared" si="22"/>
        <v>1.0163121376551487</v>
      </c>
    </row>
    <row r="47" spans="3:17" x14ac:dyDescent="0.25">
      <c r="C47" s="1">
        <v>7</v>
      </c>
      <c r="D47" s="1">
        <f t="shared" si="20"/>
        <v>7.8125E-3</v>
      </c>
      <c r="E47">
        <f t="shared" si="21"/>
        <v>7.8126590333350218E-3</v>
      </c>
      <c r="G47" s="10">
        <f t="shared" si="23"/>
        <v>1.0162920551374555</v>
      </c>
      <c r="H47" s="1">
        <f t="shared" si="24"/>
        <v>4.7141080722212791E-3</v>
      </c>
      <c r="I47">
        <f t="shared" si="25"/>
        <v>0.89124117390150281</v>
      </c>
      <c r="K47" s="1">
        <f t="shared" si="27"/>
        <v>-1</v>
      </c>
      <c r="N47">
        <f t="shared" si="26"/>
        <v>0.82979006120849486</v>
      </c>
      <c r="O47" s="10">
        <f t="shared" si="22"/>
        <v>1.0162811217968168</v>
      </c>
    </row>
    <row r="48" spans="3:17" x14ac:dyDescent="0.25">
      <c r="C48" s="1">
        <v>8</v>
      </c>
      <c r="D48" s="1">
        <f t="shared" si="20"/>
        <v>3.90625E-3</v>
      </c>
      <c r="E48">
        <f t="shared" si="21"/>
        <v>3.9062699092934959E-3</v>
      </c>
      <c r="G48" s="16">
        <f t="shared" si="23"/>
        <v>1.0162736406527983</v>
      </c>
      <c r="H48" s="1">
        <f t="shared" si="24"/>
        <v>7.4421723184059374E-4</v>
      </c>
      <c r="I48" s="12">
        <f t="shared" si="25"/>
        <v>0.89514744381079636</v>
      </c>
      <c r="K48" s="1">
        <f t="shared" si="27"/>
        <v>-1</v>
      </c>
      <c r="N48">
        <f t="shared" si="26"/>
        <v>0.82978373038858955</v>
      </c>
      <c r="O48" s="16">
        <f t="shared" si="22"/>
        <v>1.0162733681576059</v>
      </c>
      <c r="Q48" s="6" t="s">
        <v>35</v>
      </c>
    </row>
    <row r="52" spans="3:13" ht="24" x14ac:dyDescent="0.4">
      <c r="C52" s="14" t="s">
        <v>36</v>
      </c>
    </row>
    <row r="54" spans="3:13" x14ac:dyDescent="0.25">
      <c r="C54" s="19" t="s">
        <v>37</v>
      </c>
      <c r="D54" s="2">
        <v>1.3</v>
      </c>
    </row>
    <row r="55" spans="3:13" x14ac:dyDescent="0.25">
      <c r="C55" s="19" t="s">
        <v>38</v>
      </c>
      <c r="D55" s="2">
        <v>1.6</v>
      </c>
      <c r="F55" s="5" t="s">
        <v>11</v>
      </c>
      <c r="G55" s="1">
        <f>D54</f>
        <v>1.3</v>
      </c>
      <c r="H55" s="1">
        <f>D55</f>
        <v>1.6</v>
      </c>
      <c r="I55" s="1">
        <v>0</v>
      </c>
      <c r="M55" t="s">
        <v>28</v>
      </c>
    </row>
    <row r="56" spans="3:13" x14ac:dyDescent="0.25">
      <c r="M56" s="3" t="s">
        <v>39</v>
      </c>
    </row>
    <row r="57" spans="3:13" x14ac:dyDescent="0.25">
      <c r="C57" s="3" t="s">
        <v>0</v>
      </c>
      <c r="D57" s="3" t="s">
        <v>1</v>
      </c>
      <c r="H57" s="3" t="s">
        <v>4</v>
      </c>
      <c r="I57" s="3" t="s">
        <v>7</v>
      </c>
      <c r="K57" s="3" t="s">
        <v>6</v>
      </c>
      <c r="M57" s="10">
        <f>D55/D54</f>
        <v>1.2307692307692308</v>
      </c>
    </row>
    <row r="58" spans="3:13" x14ac:dyDescent="0.25">
      <c r="C58" s="1">
        <v>0</v>
      </c>
      <c r="D58" s="1">
        <f t="shared" ref="D58:D73" si="28">2^(-C58)</f>
        <v>1</v>
      </c>
      <c r="H58" s="1">
        <f>H55+K58*XVALFIXED*D58</f>
        <v>0.30000000000000004</v>
      </c>
      <c r="I58" s="10">
        <f>I55-K58*D58</f>
        <v>1</v>
      </c>
      <c r="K58" s="1">
        <f>IF(H55&gt;=0,-1,1)</f>
        <v>-1</v>
      </c>
    </row>
    <row r="59" spans="3:13" x14ac:dyDescent="0.25">
      <c r="C59" s="1">
        <f>C58+1</f>
        <v>1</v>
      </c>
      <c r="D59" s="1">
        <f t="shared" si="28"/>
        <v>0.5</v>
      </c>
      <c r="H59" s="1">
        <f t="shared" ref="H59:H73" si="29">H58+K59*XVALFIXED*D59</f>
        <v>-0.35</v>
      </c>
      <c r="I59" s="10">
        <f>I58-K59*D59</f>
        <v>1.5</v>
      </c>
      <c r="K59" s="1">
        <f>IF(H58&gt;=0,-1,1)</f>
        <v>-1</v>
      </c>
    </row>
    <row r="60" spans="3:13" x14ac:dyDescent="0.25">
      <c r="C60" s="1">
        <f t="shared" ref="C60:C65" si="30">C59+1</f>
        <v>2</v>
      </c>
      <c r="D60" s="1">
        <f t="shared" si="28"/>
        <v>0.25</v>
      </c>
      <c r="H60" s="1">
        <f t="shared" si="29"/>
        <v>-2.4999999999999967E-2</v>
      </c>
      <c r="I60" s="10">
        <f t="shared" ref="I60:I65" si="31">I59-K60*D60</f>
        <v>1.25</v>
      </c>
      <c r="K60" s="1">
        <f t="shared" ref="K60:K65" si="32">IF(H59&gt;=0,-1,1)</f>
        <v>1</v>
      </c>
    </row>
    <row r="61" spans="3:13" x14ac:dyDescent="0.25">
      <c r="C61" s="1">
        <f t="shared" si="30"/>
        <v>3</v>
      </c>
      <c r="D61" s="1">
        <f t="shared" si="28"/>
        <v>0.125</v>
      </c>
      <c r="H61" s="1">
        <f t="shared" si="29"/>
        <v>0.13750000000000004</v>
      </c>
      <c r="I61" s="10">
        <f t="shared" si="31"/>
        <v>1.125</v>
      </c>
      <c r="K61" s="1">
        <f t="shared" si="32"/>
        <v>1</v>
      </c>
    </row>
    <row r="62" spans="3:13" x14ac:dyDescent="0.25">
      <c r="C62" s="1">
        <f t="shared" si="30"/>
        <v>4</v>
      </c>
      <c r="D62" s="1">
        <f t="shared" si="28"/>
        <v>6.25E-2</v>
      </c>
      <c r="H62" s="1">
        <f t="shared" si="29"/>
        <v>5.6250000000000036E-2</v>
      </c>
      <c r="I62" s="10">
        <f t="shared" si="31"/>
        <v>1.1875</v>
      </c>
      <c r="K62" s="1">
        <f t="shared" si="32"/>
        <v>-1</v>
      </c>
    </row>
    <row r="63" spans="3:13" x14ac:dyDescent="0.25">
      <c r="C63" s="1">
        <f t="shared" si="30"/>
        <v>5</v>
      </c>
      <c r="D63" s="1">
        <f t="shared" si="28"/>
        <v>3.125E-2</v>
      </c>
      <c r="H63" s="1">
        <f t="shared" si="29"/>
        <v>1.5625000000000035E-2</v>
      </c>
      <c r="I63" s="10">
        <f t="shared" si="31"/>
        <v>1.21875</v>
      </c>
      <c r="K63" s="1">
        <f t="shared" si="32"/>
        <v>-1</v>
      </c>
    </row>
    <row r="64" spans="3:13" x14ac:dyDescent="0.25">
      <c r="C64" s="1">
        <f t="shared" si="30"/>
        <v>6</v>
      </c>
      <c r="D64" s="1">
        <f t="shared" si="28"/>
        <v>1.5625E-2</v>
      </c>
      <c r="H64" s="1">
        <f t="shared" si="29"/>
        <v>-4.687499999999966E-3</v>
      </c>
      <c r="I64" s="10">
        <f t="shared" si="31"/>
        <v>1.234375</v>
      </c>
      <c r="K64" s="1">
        <f t="shared" si="32"/>
        <v>-1</v>
      </c>
    </row>
    <row r="65" spans="3:11" x14ac:dyDescent="0.25">
      <c r="C65" s="1">
        <f t="shared" si="30"/>
        <v>7</v>
      </c>
      <c r="D65" s="1">
        <f t="shared" si="28"/>
        <v>7.8125E-3</v>
      </c>
      <c r="H65" s="1">
        <f t="shared" si="29"/>
        <v>5.4687500000000343E-3</v>
      </c>
      <c r="I65" s="10">
        <f t="shared" si="31"/>
        <v>1.2265625</v>
      </c>
      <c r="K65" s="1">
        <f t="shared" si="32"/>
        <v>1</v>
      </c>
    </row>
    <row r="66" spans="3:11" x14ac:dyDescent="0.25">
      <c r="C66" s="1">
        <f t="shared" ref="C66:C73" si="33">C65+1</f>
        <v>8</v>
      </c>
      <c r="D66" s="1">
        <f t="shared" si="28"/>
        <v>3.90625E-3</v>
      </c>
      <c r="H66" s="1">
        <f t="shared" si="29"/>
        <v>3.9062500000003417E-4</v>
      </c>
      <c r="I66" s="10">
        <f t="shared" ref="I66:I73" si="34">I65-K66*D66</f>
        <v>1.23046875</v>
      </c>
      <c r="K66" s="1">
        <f t="shared" ref="K66:K73" si="35">IF(H65&gt;=0,-1,1)</f>
        <v>-1</v>
      </c>
    </row>
    <row r="67" spans="3:11" x14ac:dyDescent="0.25">
      <c r="C67" s="1">
        <f t="shared" si="33"/>
        <v>9</v>
      </c>
      <c r="D67" s="1">
        <f t="shared" si="28"/>
        <v>1.953125E-3</v>
      </c>
      <c r="H67" s="1">
        <f t="shared" si="29"/>
        <v>-2.1484374999999659E-3</v>
      </c>
      <c r="I67" s="10">
        <f t="shared" si="34"/>
        <v>1.232421875</v>
      </c>
      <c r="K67" s="1">
        <f t="shared" si="35"/>
        <v>-1</v>
      </c>
    </row>
    <row r="68" spans="3:11" x14ac:dyDescent="0.25">
      <c r="C68" s="1">
        <f t="shared" si="33"/>
        <v>10</v>
      </c>
      <c r="D68" s="1">
        <f t="shared" si="28"/>
        <v>9.765625E-4</v>
      </c>
      <c r="H68" s="1">
        <f t="shared" si="29"/>
        <v>-8.7890624999996587E-4</v>
      </c>
      <c r="I68" s="10">
        <f t="shared" si="34"/>
        <v>1.2314453125</v>
      </c>
      <c r="K68" s="1">
        <f t="shared" si="35"/>
        <v>1</v>
      </c>
    </row>
    <row r="69" spans="3:11" x14ac:dyDescent="0.25">
      <c r="C69" s="1">
        <f t="shared" si="33"/>
        <v>11</v>
      </c>
      <c r="D69" s="1">
        <f t="shared" si="28"/>
        <v>4.8828125E-4</v>
      </c>
      <c r="H69" s="1">
        <f t="shared" si="29"/>
        <v>-2.4414062499996585E-4</v>
      </c>
      <c r="I69" s="10">
        <f t="shared" si="34"/>
        <v>1.23095703125</v>
      </c>
      <c r="K69" s="1">
        <f t="shared" si="35"/>
        <v>1</v>
      </c>
    </row>
    <row r="70" spans="3:11" x14ac:dyDescent="0.25">
      <c r="C70" s="1">
        <f t="shared" si="33"/>
        <v>12</v>
      </c>
      <c r="D70" s="1">
        <f t="shared" si="28"/>
        <v>2.44140625E-4</v>
      </c>
      <c r="H70" s="1">
        <f t="shared" si="29"/>
        <v>7.3242187500034163E-5</v>
      </c>
      <c r="I70" s="10">
        <f t="shared" si="34"/>
        <v>1.230712890625</v>
      </c>
      <c r="K70" s="1">
        <f t="shared" si="35"/>
        <v>1</v>
      </c>
    </row>
    <row r="71" spans="3:11" x14ac:dyDescent="0.25">
      <c r="C71" s="1">
        <f t="shared" si="33"/>
        <v>13</v>
      </c>
      <c r="D71" s="1">
        <f t="shared" si="28"/>
        <v>1.220703125E-4</v>
      </c>
      <c r="H71" s="1">
        <f t="shared" si="29"/>
        <v>-8.5449218749965842E-5</v>
      </c>
      <c r="I71" s="10">
        <f t="shared" si="34"/>
        <v>1.2308349609375</v>
      </c>
      <c r="K71" s="1">
        <f t="shared" si="35"/>
        <v>-1</v>
      </c>
    </row>
    <row r="72" spans="3:11" x14ac:dyDescent="0.25">
      <c r="C72" s="1">
        <f t="shared" si="33"/>
        <v>14</v>
      </c>
      <c r="D72" s="1">
        <f t="shared" si="28"/>
        <v>6.103515625E-5</v>
      </c>
      <c r="H72" s="1">
        <f t="shared" si="29"/>
        <v>-6.1035156249658395E-6</v>
      </c>
      <c r="I72" s="10">
        <f t="shared" si="34"/>
        <v>1.23077392578125</v>
      </c>
      <c r="K72" s="1">
        <f t="shared" si="35"/>
        <v>1</v>
      </c>
    </row>
    <row r="73" spans="3:11" x14ac:dyDescent="0.25">
      <c r="C73" s="1">
        <f t="shared" si="33"/>
        <v>15</v>
      </c>
      <c r="D73" s="1">
        <f t="shared" si="28"/>
        <v>3.0517578125E-5</v>
      </c>
      <c r="H73" s="1">
        <f t="shared" si="29"/>
        <v>3.3569335937534162E-5</v>
      </c>
      <c r="I73" s="10">
        <f t="shared" si="34"/>
        <v>1.230743408203125</v>
      </c>
      <c r="K73" s="1">
        <f t="shared" si="35"/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ALPHA</vt:lpstr>
      <vt:lpstr>AVAL</vt:lpstr>
      <vt:lpstr>BVAL</vt:lpstr>
      <vt:lpstr>EXP_ALPHA</vt:lpstr>
      <vt:lpstr>SQRT_BVAL</vt:lpstr>
      <vt:lpstr>XVALFIXED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Unified-cordic-demo</dc:title>
  <dc:creator>Pekka Sangi</dc:creator>
  <cp:lastModifiedBy>Pekka Sangi</cp:lastModifiedBy>
  <dcterms:created xsi:type="dcterms:W3CDTF">2024-11-18T06:06:16Z</dcterms:created>
  <dcterms:modified xsi:type="dcterms:W3CDTF">2025-11-19T11:05:31Z</dcterms:modified>
</cp:coreProperties>
</file>