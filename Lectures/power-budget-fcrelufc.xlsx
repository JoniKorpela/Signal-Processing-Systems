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ulu-my.sharepoint.com/personal/psangi_univ_yo_oulu_fi/Documents/MyTeaching/Course_SignalProcessingSystems/2025/"/>
    </mc:Choice>
  </mc:AlternateContent>
  <xr:revisionPtr revIDLastSave="119" documentId="8_{4244B3B5-1014-4B2B-BADA-BDD70D2C7D7D}" xr6:coauthVersionLast="47" xr6:coauthVersionMax="47" xr10:uidLastSave="{5CB3E3B4-A578-4EEC-9DB8-9A95818D4BF1}"/>
  <bookViews>
    <workbookView xWindow="5040" yWindow="4455" windowWidth="28800" windowHeight="15345" xr2:uid="{89176546-E0C9-4540-8C8C-312A9BE2710F}"/>
  </bookViews>
  <sheets>
    <sheet name="Sheet1" sheetId="1" r:id="rId1"/>
  </sheets>
  <definedNames>
    <definedName name="Ba">Sheet1!$G$6</definedName>
    <definedName name="Bg">Sheet1!$G$5</definedName>
    <definedName name="Bio">Sheet1!$G$3</definedName>
    <definedName name="Bw">Sheet1!$G$4</definedName>
    <definedName name="Freq">Sheet1!$M$7</definedName>
    <definedName name="K">Sheet1!$J$7</definedName>
    <definedName name="Mfc">Sheet1!$J$4</definedName>
    <definedName name="Min">Sheet1!$J$3</definedName>
    <definedName name="Minput">Sheet1!$J$3</definedName>
    <definedName name="Mout">Sheet1!$J$5</definedName>
    <definedName name="pJadd">Sheet1!$M$3</definedName>
    <definedName name="pJaddfp16">Sheet1!$M$21</definedName>
    <definedName name="pJaddfp32">Sheet1!$M$31</definedName>
    <definedName name="pJmply">Sheet1!$M$4</definedName>
    <definedName name="pJmplyfp16">Sheet1!$M$22</definedName>
    <definedName name="pJmplyfp32">Sheet1!$M$32</definedName>
    <definedName name="Total">Sheet1!$K$18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O18" i="1"/>
  <c r="J37" i="1"/>
  <c r="I37" i="1"/>
  <c r="I35" i="1"/>
  <c r="J35" i="1"/>
  <c r="H35" i="1"/>
  <c r="J27" i="1"/>
  <c r="I27" i="1"/>
  <c r="K27" i="1" s="1"/>
  <c r="M27" i="1" s="1"/>
  <c r="H25" i="1"/>
  <c r="J25" i="1" s="1"/>
  <c r="H17" i="1"/>
  <c r="J17" i="1" s="1"/>
  <c r="H16" i="1"/>
  <c r="H15" i="1"/>
  <c r="J15" i="1" s="1"/>
  <c r="G16" i="1"/>
  <c r="J16" i="1" s="1"/>
  <c r="F15" i="1"/>
  <c r="I15" i="1" s="1"/>
  <c r="H13" i="1"/>
  <c r="J13" i="1" s="1"/>
  <c r="H12" i="1"/>
  <c r="F11" i="1"/>
  <c r="G12" i="1"/>
  <c r="H11" i="1"/>
  <c r="J11" i="1" s="1"/>
  <c r="G6" i="1"/>
  <c r="F12" i="1" s="1"/>
  <c r="K37" i="1" l="1"/>
  <c r="M37" i="1"/>
  <c r="K35" i="1"/>
  <c r="I25" i="1"/>
  <c r="K25" i="1" s="1"/>
  <c r="I11" i="1"/>
  <c r="K11" i="1" s="1"/>
  <c r="M11" i="1" s="1"/>
  <c r="I12" i="1"/>
  <c r="J12" i="1"/>
  <c r="K15" i="1"/>
  <c r="M15" i="1" s="1"/>
  <c r="F16" i="1"/>
  <c r="I16" i="1" s="1"/>
  <c r="K16" i="1" s="1"/>
  <c r="M16" i="1" s="1"/>
  <c r="F13" i="1"/>
  <c r="I13" i="1" s="1"/>
  <c r="K13" i="1" s="1"/>
  <c r="M13" i="1" s="1"/>
  <c r="F17" i="1"/>
  <c r="I17" i="1" s="1"/>
  <c r="K17" i="1" s="1"/>
  <c r="M17" i="1" s="1"/>
  <c r="K38" i="1" l="1"/>
  <c r="L37" i="1" s="1"/>
  <c r="M35" i="1"/>
  <c r="M38" i="1" s="1"/>
  <c r="M25" i="1"/>
  <c r="M28" i="1" s="1"/>
  <c r="K28" i="1"/>
  <c r="L27" i="1" s="1"/>
  <c r="K12" i="1"/>
  <c r="L35" i="1" l="1"/>
  <c r="L25" i="1"/>
  <c r="K18" i="1"/>
  <c r="L11" i="1" s="1"/>
  <c r="M12" i="1"/>
  <c r="L16" i="1" l="1"/>
  <c r="L13" i="1"/>
  <c r="L12" i="1"/>
  <c r="L17" i="1"/>
  <c r="L15" i="1"/>
  <c r="M18" i="1"/>
</calcChain>
</file>

<file path=xl/sharedStrings.xml><?xml version="1.0" encoding="utf-8"?>
<sst xmlns="http://schemas.openxmlformats.org/spreadsheetml/2006/main" count="90" uniqueCount="50">
  <si>
    <t>MAC</t>
  </si>
  <si>
    <t>Number of bits</t>
  </si>
  <si>
    <t>I/O</t>
  </si>
  <si>
    <t>Weights</t>
  </si>
  <si>
    <t>Guard</t>
  </si>
  <si>
    <t>Accu</t>
  </si>
  <si>
    <t>Input</t>
  </si>
  <si>
    <t>Vector length</t>
  </si>
  <si>
    <t>FC0 out</t>
  </si>
  <si>
    <t>Output</t>
  </si>
  <si>
    <t>Times</t>
  </si>
  <si>
    <t>Complexity</t>
  </si>
  <si>
    <t>Add</t>
  </si>
  <si>
    <t>Mply</t>
  </si>
  <si>
    <t>Energy (8bit) / pJ</t>
  </si>
  <si>
    <t>ADD</t>
  </si>
  <si>
    <t>MPLY</t>
  </si>
  <si>
    <t>Energy</t>
  </si>
  <si>
    <r>
      <rPr>
        <b/>
        <sz val="11"/>
        <color theme="1"/>
        <rFont val="Aptos Narrow"/>
        <family val="2"/>
        <scheme val="minor"/>
      </rPr>
      <t>Bw</t>
    </r>
    <r>
      <rPr>
        <sz val="11"/>
        <color theme="1"/>
        <rFont val="Aptos Narrow"/>
        <family val="2"/>
        <scheme val="minor"/>
      </rPr>
      <t xml:space="preserve"> bit addition, </t>
    </r>
    <r>
      <rPr>
        <b/>
        <sz val="11"/>
        <color theme="1"/>
        <rFont val="Aptos Narrow"/>
        <family val="2"/>
        <scheme val="minor"/>
      </rPr>
      <t>Min*Mfc</t>
    </r>
    <r>
      <rPr>
        <sz val="11"/>
        <color theme="1"/>
        <rFont val="Aptos Narrow"/>
        <family val="2"/>
        <scheme val="minor"/>
      </rPr>
      <t xml:space="preserve"> times</t>
    </r>
  </si>
  <si>
    <r>
      <t xml:space="preserve">K </t>
    </r>
    <r>
      <rPr>
        <b/>
        <sz val="11"/>
        <color theme="1"/>
        <rFont val="Aptos Narrow"/>
        <family val="2"/>
        <scheme val="minor"/>
      </rPr>
      <t>Ba</t>
    </r>
    <r>
      <rPr>
        <sz val="11"/>
        <color theme="1"/>
        <rFont val="Aptos Narrow"/>
        <family val="2"/>
        <scheme val="minor"/>
      </rPr>
      <t xml:space="preserve"> bit additions, </t>
    </r>
    <r>
      <rPr>
        <b/>
        <sz val="11"/>
        <color theme="1"/>
        <rFont val="Aptos Narrow"/>
        <family val="2"/>
        <scheme val="minor"/>
      </rPr>
      <t>Mfc</t>
    </r>
    <r>
      <rPr>
        <sz val="11"/>
        <color theme="1"/>
        <rFont val="Aptos Narrow"/>
        <family val="2"/>
        <scheme val="minor"/>
      </rPr>
      <t xml:space="preserve"> times</t>
    </r>
  </si>
  <si>
    <t>Q shift-adds</t>
  </si>
  <si>
    <t>Fully-conn. layer 0</t>
  </si>
  <si>
    <t>RelU ignored</t>
  </si>
  <si>
    <t>Fully-conn. layer 1</t>
  </si>
  <si>
    <r>
      <rPr>
        <b/>
        <sz val="11"/>
        <color theme="1"/>
        <rFont val="Aptos Narrow"/>
        <family val="2"/>
        <scheme val="minor"/>
      </rPr>
      <t>Bw</t>
    </r>
    <r>
      <rPr>
        <sz val="11"/>
        <color theme="1"/>
        <rFont val="Aptos Narrow"/>
        <family val="2"/>
        <scheme val="minor"/>
      </rPr>
      <t xml:space="preserve"> bit addition, </t>
    </r>
    <r>
      <rPr>
        <b/>
        <sz val="11"/>
        <color theme="1"/>
        <rFont val="Aptos Narrow"/>
        <family val="2"/>
        <scheme val="minor"/>
      </rPr>
      <t>Mfc*Mout</t>
    </r>
    <r>
      <rPr>
        <sz val="11"/>
        <color theme="1"/>
        <rFont val="Aptos Narrow"/>
        <family val="2"/>
        <scheme val="minor"/>
      </rPr>
      <t xml:space="preserve"> times</t>
    </r>
  </si>
  <si>
    <r>
      <t xml:space="preserve">K </t>
    </r>
    <r>
      <rPr>
        <b/>
        <sz val="11"/>
        <color theme="1"/>
        <rFont val="Aptos Narrow"/>
        <family val="2"/>
        <scheme val="minor"/>
      </rPr>
      <t>Ba</t>
    </r>
    <r>
      <rPr>
        <sz val="11"/>
        <color theme="1"/>
        <rFont val="Aptos Narrow"/>
        <family val="2"/>
        <scheme val="minor"/>
      </rPr>
      <t xml:space="preserve"> bit additions, </t>
    </r>
    <r>
      <rPr>
        <b/>
        <sz val="11"/>
        <color theme="1"/>
        <rFont val="Aptos Narrow"/>
        <family val="2"/>
        <scheme val="minor"/>
      </rPr>
      <t>Mout</t>
    </r>
    <r>
      <rPr>
        <sz val="11"/>
        <color theme="1"/>
        <rFont val="Aptos Narrow"/>
        <family val="2"/>
        <scheme val="minor"/>
      </rPr>
      <t xml:space="preserve"> times</t>
    </r>
  </si>
  <si>
    <t>Sum</t>
  </si>
  <si>
    <t>NN (FC+RELU+FC) power budget</t>
  </si>
  <si>
    <t>Operations &amp; associated word lengths</t>
  </si>
  <si>
    <t>Indicative estimates</t>
  </si>
  <si>
    <t>Proportion</t>
  </si>
  <si>
    <t>Step</t>
  </si>
  <si>
    <t>Layer</t>
  </si>
  <si>
    <t>Total / pJ</t>
  </si>
  <si>
    <t>Frequency/kHz</t>
  </si>
  <si>
    <t>Power / mW</t>
  </si>
  <si>
    <r>
      <rPr>
        <b/>
        <sz val="11"/>
        <color theme="1"/>
        <rFont val="Aptos Narrow"/>
        <family val="2"/>
        <scheme val="minor"/>
      </rPr>
      <t>(Bw+1)*Bio</t>
    </r>
    <r>
      <rPr>
        <sz val="11"/>
        <color theme="1"/>
        <rFont val="Aptos Narrow"/>
        <family val="2"/>
        <scheme val="minor"/>
      </rPr>
      <t xml:space="preserve"> bit multiplication, </t>
    </r>
    <r>
      <rPr>
        <b/>
        <sz val="11"/>
        <color theme="1"/>
        <rFont val="Aptos Narrow"/>
        <family val="2"/>
        <scheme val="minor"/>
      </rPr>
      <t>Ba</t>
    </r>
    <r>
      <rPr>
        <sz val="11"/>
        <color theme="1"/>
        <rFont val="Aptos Narrow"/>
        <family val="2"/>
        <scheme val="minor"/>
      </rPr>
      <t xml:space="preserve"> bit addition, </t>
    </r>
    <r>
      <rPr>
        <b/>
        <sz val="11"/>
        <color theme="1"/>
        <rFont val="Aptos Narrow"/>
        <family val="2"/>
        <scheme val="minor"/>
      </rPr>
      <t>Min*Mfc</t>
    </r>
    <r>
      <rPr>
        <sz val="11"/>
        <color theme="1"/>
        <rFont val="Aptos Narrow"/>
        <family val="2"/>
        <scheme val="minor"/>
      </rPr>
      <t xml:space="preserve"> times</t>
    </r>
  </si>
  <si>
    <r>
      <rPr>
        <b/>
        <sz val="11"/>
        <color theme="1"/>
        <rFont val="Aptos Narrow"/>
        <family val="2"/>
        <scheme val="minor"/>
      </rPr>
      <t>(Bw+1)*Bio</t>
    </r>
    <r>
      <rPr>
        <sz val="11"/>
        <color theme="1"/>
        <rFont val="Aptos Narrow"/>
        <family val="2"/>
        <scheme val="minor"/>
      </rPr>
      <t xml:space="preserve"> bit multiplication, </t>
    </r>
    <r>
      <rPr>
        <b/>
        <sz val="11"/>
        <color theme="1"/>
        <rFont val="Aptos Narrow"/>
        <family val="2"/>
        <scheme val="minor"/>
      </rPr>
      <t>Ba</t>
    </r>
    <r>
      <rPr>
        <sz val="11"/>
        <color theme="1"/>
        <rFont val="Aptos Narrow"/>
        <family val="2"/>
        <scheme val="minor"/>
      </rPr>
      <t xml:space="preserve"> bit addition, </t>
    </r>
    <r>
      <rPr>
        <b/>
        <sz val="11"/>
        <color theme="1"/>
        <rFont val="Aptos Narrow"/>
        <family val="2"/>
        <scheme val="minor"/>
      </rPr>
      <t>Mfc*Mout</t>
    </r>
    <r>
      <rPr>
        <sz val="11"/>
        <color theme="1"/>
        <rFont val="Aptos Narrow"/>
        <family val="2"/>
        <scheme val="minor"/>
      </rPr>
      <t xml:space="preserve"> times</t>
    </r>
  </si>
  <si>
    <t>Floating-point (32-bit)</t>
  </si>
  <si>
    <t>Floating-point (16-bit)</t>
  </si>
  <si>
    <t>Min*Mfc times</t>
  </si>
  <si>
    <t>Mfc*Mout times</t>
  </si>
  <si>
    <t>Operation count</t>
  </si>
  <si>
    <t>Energy (16-bit FLP) / pJ</t>
  </si>
  <si>
    <t>as&gt;2c</t>
  </si>
  <si>
    <t>accu&gt;out</t>
  </si>
  <si>
    <t>Energy (32-bit FLP) / pJ</t>
  </si>
  <si>
    <t>Versus</t>
  </si>
  <si>
    <t>FLP16</t>
  </si>
  <si>
    <t>FLP32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</si>
</sst>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0" borderId="0" xfId="0" applyNumberFormat="1"/>
    <xf numFmtId="2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2" xfId="0" applyNumberFormat="1" applyBorder="1" applyAlignment="1">
      <alignment horizontal="center"/>
    </xf>
    <xf numFmtId="0" fontId="2" fillId="0" borderId="0" xfId="0" applyFont="1"/>
    <xf numFmtId="0" fontId="1" fillId="0" borderId="0" xfId="0" applyFont="1"/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8" borderId="0" xfId="0" applyNumberFormat="1" applyFill="1"/>
    <xf numFmtId="2" fontId="0" fillId="8" borderId="2" xfId="0" applyNumberForma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7" borderId="4" xfId="0" applyNumberFormat="1" applyFont="1" applyFill="1" applyBorder="1" applyAlignment="1">
      <alignment horizontal="center"/>
    </xf>
    <xf numFmtId="0" fontId="0" fillId="0" borderId="4" xfId="0" applyBorder="1"/>
    <xf numFmtId="164" fontId="1" fillId="7" borderId="4" xfId="0" applyNumberFormat="1" applyFont="1" applyFill="1" applyBorder="1" applyAlignment="1">
      <alignment horizontal="center"/>
    </xf>
    <xf numFmtId="0" fontId="1" fillId="0" borderId="4" xfId="0" applyFont="1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center"/>
    </xf>
    <xf numFmtId="10" fontId="0" fillId="10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9AEA-9A8C-4BED-89A6-78D20CAC8744}">
  <dimension ref="C2:P38"/>
  <sheetViews>
    <sheetView tabSelected="1" workbookViewId="0">
      <selection activeCell="R30" sqref="R30"/>
    </sheetView>
  </sheetViews>
  <sheetFormatPr defaultRowHeight="15" x14ac:dyDescent="0.25"/>
  <cols>
    <col min="3" max="3" width="20.28515625" customWidth="1"/>
    <col min="5" max="5" width="60.28515625" customWidth="1"/>
    <col min="12" max="12" width="14.28515625" customWidth="1"/>
    <col min="13" max="13" width="12" customWidth="1"/>
    <col min="17" max="17" width="17.140625" customWidth="1"/>
  </cols>
  <sheetData>
    <row r="2" spans="3:16" ht="26.25" x14ac:dyDescent="0.4">
      <c r="C2" s="12" t="s">
        <v>27</v>
      </c>
      <c r="G2" t="s">
        <v>1</v>
      </c>
      <c r="J2" s="2" t="s">
        <v>7</v>
      </c>
      <c r="M2" s="2" t="s">
        <v>14</v>
      </c>
    </row>
    <row r="3" spans="3:16" x14ac:dyDescent="0.25">
      <c r="C3" s="13" t="s">
        <v>29</v>
      </c>
      <c r="F3" s="2" t="s">
        <v>2</v>
      </c>
      <c r="G3" s="3">
        <v>6</v>
      </c>
      <c r="I3" s="2" t="s">
        <v>6</v>
      </c>
      <c r="J3" s="5">
        <v>15</v>
      </c>
      <c r="L3" s="2" t="s">
        <v>15</v>
      </c>
      <c r="M3" s="7">
        <v>0.03</v>
      </c>
    </row>
    <row r="4" spans="3:16" x14ac:dyDescent="0.25">
      <c r="F4" s="2" t="s">
        <v>3</v>
      </c>
      <c r="G4" s="3">
        <v>6</v>
      </c>
      <c r="I4" s="2" t="s">
        <v>8</v>
      </c>
      <c r="J4" s="5">
        <v>10</v>
      </c>
      <c r="L4" s="2" t="s">
        <v>16</v>
      </c>
      <c r="M4" s="7">
        <v>0.2</v>
      </c>
    </row>
    <row r="5" spans="3:16" x14ac:dyDescent="0.25">
      <c r="F5" s="2" t="s">
        <v>4</v>
      </c>
      <c r="G5" s="3">
        <v>3</v>
      </c>
      <c r="I5" s="2" t="s">
        <v>9</v>
      </c>
      <c r="J5" s="5">
        <v>3</v>
      </c>
    </row>
    <row r="6" spans="3:16" x14ac:dyDescent="0.25">
      <c r="F6" s="2" t="s">
        <v>5</v>
      </c>
      <c r="G6" s="4">
        <f>Bio+Bw+Bg</f>
        <v>15</v>
      </c>
    </row>
    <row r="7" spans="3:16" x14ac:dyDescent="0.25">
      <c r="I7" s="1" t="s">
        <v>20</v>
      </c>
      <c r="J7" s="8">
        <v>3</v>
      </c>
      <c r="L7" s="1" t="s">
        <v>34</v>
      </c>
      <c r="M7" s="22">
        <v>30</v>
      </c>
    </row>
    <row r="9" spans="3:16" x14ac:dyDescent="0.25">
      <c r="F9" s="13" t="s">
        <v>11</v>
      </c>
      <c r="G9" s="13"/>
      <c r="H9" s="13" t="s">
        <v>10</v>
      </c>
      <c r="I9" s="15" t="s">
        <v>17</v>
      </c>
      <c r="J9" s="13"/>
    </row>
    <row r="10" spans="3:16" ht="15.75" thickBot="1" x14ac:dyDescent="0.3">
      <c r="C10" s="30" t="s">
        <v>32</v>
      </c>
      <c r="D10" s="30" t="s">
        <v>31</v>
      </c>
      <c r="E10" s="30" t="s">
        <v>28</v>
      </c>
      <c r="F10" s="30" t="s">
        <v>12</v>
      </c>
      <c r="G10" s="30" t="s">
        <v>13</v>
      </c>
      <c r="H10" s="30"/>
      <c r="I10" s="31" t="s">
        <v>12</v>
      </c>
      <c r="J10" s="30" t="s">
        <v>13</v>
      </c>
      <c r="K10" s="31" t="s">
        <v>33</v>
      </c>
      <c r="L10" s="31" t="s">
        <v>30</v>
      </c>
      <c r="M10" s="31" t="s">
        <v>35</v>
      </c>
    </row>
    <row r="11" spans="3:16" x14ac:dyDescent="0.25">
      <c r="C11" t="s">
        <v>21</v>
      </c>
      <c r="D11" t="s">
        <v>44</v>
      </c>
      <c r="E11" t="s">
        <v>18</v>
      </c>
      <c r="F11" s="2">
        <f>Bw/8</f>
        <v>0.75</v>
      </c>
      <c r="H11" s="2">
        <f>Min*Mfc</f>
        <v>150</v>
      </c>
      <c r="I11" s="9">
        <f>F11*pJadd*H11</f>
        <v>3.375</v>
      </c>
      <c r="J11" s="2">
        <f>G11*pJmply*H11</f>
        <v>0</v>
      </c>
      <c r="K11" s="16">
        <f>I11+J11</f>
        <v>3.375</v>
      </c>
      <c r="L11" s="14">
        <f>K11/Total</f>
        <v>8.4388185654008435E-2</v>
      </c>
      <c r="M11" s="23">
        <f>Freq*1000*K11/1000000</f>
        <v>0.10125000000000001</v>
      </c>
    </row>
    <row r="12" spans="3:16" x14ac:dyDescent="0.25">
      <c r="D12" t="s">
        <v>0</v>
      </c>
      <c r="E12" t="s">
        <v>36</v>
      </c>
      <c r="F12" s="2">
        <f>Ba/8</f>
        <v>1.875</v>
      </c>
      <c r="G12" s="2">
        <f>(Bw+1)*Bio/(8*8)</f>
        <v>0.65625</v>
      </c>
      <c r="H12" s="2">
        <f>Min*Mfc</f>
        <v>150</v>
      </c>
      <c r="I12" s="9">
        <f>F12*pJadd*H12</f>
        <v>8.4375</v>
      </c>
      <c r="J12" s="2">
        <f>G12*pJmply*H12</f>
        <v>19.6875</v>
      </c>
      <c r="K12" s="16">
        <f>I12+J12</f>
        <v>28.125</v>
      </c>
      <c r="L12" s="14">
        <f>K12/Total</f>
        <v>0.70323488045007032</v>
      </c>
      <c r="M12" s="23">
        <f>Freq*1000*K12/1000000</f>
        <v>0.84375</v>
      </c>
    </row>
    <row r="13" spans="3:16" x14ac:dyDescent="0.25">
      <c r="D13" t="s">
        <v>45</v>
      </c>
      <c r="E13" t="s">
        <v>19</v>
      </c>
      <c r="F13" s="2">
        <f>K*Ba/8</f>
        <v>5.625</v>
      </c>
      <c r="H13" s="2">
        <f>Mfc</f>
        <v>10</v>
      </c>
      <c r="I13" s="9">
        <f>F13*pJadd*H13</f>
        <v>1.6874999999999998</v>
      </c>
      <c r="J13" s="2">
        <f>G13*pJmply*H13</f>
        <v>0</v>
      </c>
      <c r="K13" s="16">
        <f>I13+J13</f>
        <v>1.6874999999999998</v>
      </c>
      <c r="L13" s="14">
        <f>K13/Total</f>
        <v>4.2194092827004218E-2</v>
      </c>
      <c r="M13" s="23">
        <f>Freq*1000*K13/1000000</f>
        <v>5.0624999999999989E-2</v>
      </c>
    </row>
    <row r="14" spans="3:16" x14ac:dyDescent="0.25">
      <c r="C14" t="s">
        <v>22</v>
      </c>
      <c r="I14" s="10"/>
      <c r="K14" s="17"/>
      <c r="L14" s="2"/>
    </row>
    <row r="15" spans="3:16" x14ac:dyDescent="0.25">
      <c r="C15" t="s">
        <v>23</v>
      </c>
      <c r="D15" t="s">
        <v>44</v>
      </c>
      <c r="E15" t="s">
        <v>24</v>
      </c>
      <c r="F15" s="2">
        <f>Bw/8</f>
        <v>0.75</v>
      </c>
      <c r="H15" s="2">
        <f>Mfc*Mout</f>
        <v>30</v>
      </c>
      <c r="I15" s="9">
        <f>F15*pJadd*H15</f>
        <v>0.67499999999999993</v>
      </c>
      <c r="J15" s="2">
        <f>G15*pJmply*H15</f>
        <v>0</v>
      </c>
      <c r="K15" s="16">
        <f>I15+J15</f>
        <v>0.67499999999999993</v>
      </c>
      <c r="L15" s="14">
        <f>K15/Total</f>
        <v>1.6877637130801686E-2</v>
      </c>
      <c r="M15" s="23">
        <f>Freq*1000*K15/1000000</f>
        <v>2.0249999999999997E-2</v>
      </c>
    </row>
    <row r="16" spans="3:16" x14ac:dyDescent="0.25">
      <c r="D16" t="s">
        <v>0</v>
      </c>
      <c r="E16" t="s">
        <v>37</v>
      </c>
      <c r="F16" s="2">
        <f>Ba/8</f>
        <v>1.875</v>
      </c>
      <c r="G16" s="2">
        <f>(Bw+1)*Bio/(8*8)</f>
        <v>0.65625</v>
      </c>
      <c r="H16" s="2">
        <f>Mfc*Mout</f>
        <v>30</v>
      </c>
      <c r="I16" s="9">
        <f>F16*pJadd*H16</f>
        <v>1.6874999999999998</v>
      </c>
      <c r="J16" s="2">
        <f>G16*pJmply*H16</f>
        <v>3.9375</v>
      </c>
      <c r="K16" s="16">
        <f>I16+J16</f>
        <v>5.625</v>
      </c>
      <c r="L16" s="14">
        <f>K16/Total</f>
        <v>0.14064697609001406</v>
      </c>
      <c r="M16" s="23">
        <f>Freq*1000*K16/1000000</f>
        <v>0.16875000000000001</v>
      </c>
      <c r="O16" s="15" t="s">
        <v>47</v>
      </c>
      <c r="P16" s="15"/>
    </row>
    <row r="17" spans="3:16" ht="15.75" thickBot="1" x14ac:dyDescent="0.3">
      <c r="C17" s="19"/>
      <c r="D17" s="19" t="s">
        <v>45</v>
      </c>
      <c r="E17" s="19" t="s">
        <v>25</v>
      </c>
      <c r="F17" s="20">
        <f>K*Ba/8</f>
        <v>5.625</v>
      </c>
      <c r="G17" s="19"/>
      <c r="H17" s="20">
        <f>Mout</f>
        <v>3</v>
      </c>
      <c r="I17" s="11">
        <f>F17*pJadd*H17</f>
        <v>0.50624999999999998</v>
      </c>
      <c r="J17" s="20">
        <f>G17*pJmply*H17</f>
        <v>0</v>
      </c>
      <c r="K17" s="18">
        <f>I17+J17</f>
        <v>0.50624999999999998</v>
      </c>
      <c r="L17" s="21">
        <f>K17/Total</f>
        <v>1.2658227848101266E-2</v>
      </c>
      <c r="M17" s="24">
        <f>Freq*1000*K17/1000000</f>
        <v>1.51875E-2</v>
      </c>
      <c r="O17" s="15" t="s">
        <v>48</v>
      </c>
      <c r="P17" s="15" t="s">
        <v>49</v>
      </c>
    </row>
    <row r="18" spans="3:16" ht="16.5" thickTop="1" thickBot="1" x14ac:dyDescent="0.3">
      <c r="J18" s="25" t="s">
        <v>26</v>
      </c>
      <c r="K18" s="26">
        <f>SUM(K11:K17)</f>
        <v>39.993749999999999</v>
      </c>
      <c r="L18" s="27"/>
      <c r="M18" s="28">
        <f>Freq*1000*K18/1000000</f>
        <v>1.1998124999999999</v>
      </c>
      <c r="O18" s="32">
        <f>M18/M28</f>
        <v>0.14812500000000001</v>
      </c>
      <c r="P18" s="32">
        <f>M18/M38</f>
        <v>4.8301630434782604E-2</v>
      </c>
    </row>
    <row r="20" spans="3:16" x14ac:dyDescent="0.25">
      <c r="L20" s="6"/>
      <c r="M20" s="2" t="s">
        <v>43</v>
      </c>
    </row>
    <row r="21" spans="3:16" x14ac:dyDescent="0.25">
      <c r="C21" s="13" t="s">
        <v>39</v>
      </c>
      <c r="L21" s="2" t="s">
        <v>15</v>
      </c>
      <c r="M21" s="7">
        <v>0.4</v>
      </c>
    </row>
    <row r="22" spans="3:16" x14ac:dyDescent="0.25">
      <c r="L22" s="2" t="s">
        <v>16</v>
      </c>
      <c r="M22" s="7">
        <v>1.1000000000000001</v>
      </c>
    </row>
    <row r="24" spans="3:16" ht="15.75" thickBot="1" x14ac:dyDescent="0.3">
      <c r="C24" s="30" t="s">
        <v>32</v>
      </c>
      <c r="D24" s="30" t="s">
        <v>31</v>
      </c>
      <c r="E24" s="30" t="s">
        <v>42</v>
      </c>
      <c r="F24" s="30" t="s">
        <v>12</v>
      </c>
      <c r="G24" s="30" t="s">
        <v>13</v>
      </c>
      <c r="H24" s="30"/>
      <c r="I24" s="31" t="s">
        <v>12</v>
      </c>
      <c r="J24" s="30" t="s">
        <v>13</v>
      </c>
      <c r="K24" s="31" t="s">
        <v>33</v>
      </c>
      <c r="L24" s="31" t="s">
        <v>30</v>
      </c>
      <c r="M24" s="31" t="s">
        <v>35</v>
      </c>
    </row>
    <row r="25" spans="3:16" x14ac:dyDescent="0.25">
      <c r="C25" t="s">
        <v>21</v>
      </c>
      <c r="D25" t="s">
        <v>0</v>
      </c>
      <c r="E25" t="s">
        <v>40</v>
      </c>
      <c r="H25" s="2">
        <f>Min*Mfc</f>
        <v>150</v>
      </c>
      <c r="I25">
        <f>H25*pJaddfp16</f>
        <v>60</v>
      </c>
      <c r="J25">
        <f>H25*pJmplyfp16</f>
        <v>165</v>
      </c>
      <c r="K25" s="16">
        <f>I25+J25</f>
        <v>225</v>
      </c>
      <c r="L25" s="14">
        <f>K25/K28</f>
        <v>0.83333333333333337</v>
      </c>
      <c r="M25" s="2">
        <f>Freq*1000*K25/1000000</f>
        <v>6.75</v>
      </c>
    </row>
    <row r="26" spans="3:16" x14ac:dyDescent="0.25">
      <c r="C26" t="s">
        <v>22</v>
      </c>
      <c r="K26" s="17"/>
    </row>
    <row r="27" spans="3:16" ht="15.75" thickBot="1" x14ac:dyDescent="0.3">
      <c r="C27" s="19" t="s">
        <v>23</v>
      </c>
      <c r="D27" s="19" t="s">
        <v>0</v>
      </c>
      <c r="E27" s="19" t="s">
        <v>41</v>
      </c>
      <c r="F27" s="19"/>
      <c r="G27" s="19"/>
      <c r="H27" s="20">
        <v>30</v>
      </c>
      <c r="I27" s="19">
        <f>H27*pJaddfp16</f>
        <v>12</v>
      </c>
      <c r="J27" s="19">
        <f>H27*pJmplyfp16</f>
        <v>33</v>
      </c>
      <c r="K27" s="18">
        <f>I27+J27</f>
        <v>45</v>
      </c>
      <c r="L27" s="21">
        <f>K27/K28</f>
        <v>0.16666666666666666</v>
      </c>
      <c r="M27" s="2">
        <f>Freq*1000*K27/1000000</f>
        <v>1.35</v>
      </c>
    </row>
    <row r="28" spans="3:16" ht="16.5" thickTop="1" thickBot="1" x14ac:dyDescent="0.3">
      <c r="J28" s="27"/>
      <c r="K28" s="26">
        <f>SUM(K25:K27)</f>
        <v>270</v>
      </c>
      <c r="L28" s="29"/>
      <c r="M28" s="26">
        <f>SUM(M25:M27)</f>
        <v>8.1</v>
      </c>
    </row>
    <row r="30" spans="3:16" x14ac:dyDescent="0.25">
      <c r="M30" s="2" t="s">
        <v>46</v>
      </c>
    </row>
    <row r="31" spans="3:16" x14ac:dyDescent="0.25">
      <c r="C31" s="13" t="s">
        <v>38</v>
      </c>
      <c r="L31" s="2" t="s">
        <v>15</v>
      </c>
      <c r="M31" s="7">
        <v>0.9</v>
      </c>
    </row>
    <row r="32" spans="3:16" x14ac:dyDescent="0.25">
      <c r="L32" s="2" t="s">
        <v>16</v>
      </c>
      <c r="M32" s="7">
        <v>3.7</v>
      </c>
    </row>
    <row r="34" spans="3:13" ht="15.75" thickBot="1" x14ac:dyDescent="0.3">
      <c r="C34" s="30" t="s">
        <v>32</v>
      </c>
      <c r="D34" s="30" t="s">
        <v>31</v>
      </c>
      <c r="E34" s="30" t="s">
        <v>42</v>
      </c>
      <c r="F34" s="30" t="s">
        <v>12</v>
      </c>
      <c r="G34" s="30" t="s">
        <v>13</v>
      </c>
      <c r="H34" s="30"/>
      <c r="I34" s="31" t="s">
        <v>12</v>
      </c>
      <c r="J34" s="30" t="s">
        <v>13</v>
      </c>
      <c r="K34" s="31" t="s">
        <v>33</v>
      </c>
      <c r="L34" s="31" t="s">
        <v>30</v>
      </c>
      <c r="M34" s="31" t="s">
        <v>35</v>
      </c>
    </row>
    <row r="35" spans="3:13" x14ac:dyDescent="0.25">
      <c r="C35" t="s">
        <v>21</v>
      </c>
      <c r="D35" t="s">
        <v>0</v>
      </c>
      <c r="E35" t="s">
        <v>40</v>
      </c>
      <c r="H35" s="2">
        <f>Min*Mfc</f>
        <v>150</v>
      </c>
      <c r="I35">
        <f>H35*pJaddfp32</f>
        <v>135</v>
      </c>
      <c r="J35">
        <f>H35*pJmplyfp32</f>
        <v>555</v>
      </c>
      <c r="K35" s="16">
        <f>I35+J35</f>
        <v>690</v>
      </c>
      <c r="L35" s="14">
        <f>K35/K38</f>
        <v>0.83333333333333337</v>
      </c>
      <c r="M35" s="2">
        <f>Freq*1000*K35/1000000</f>
        <v>20.7</v>
      </c>
    </row>
    <row r="36" spans="3:13" x14ac:dyDescent="0.25">
      <c r="C36" t="s">
        <v>22</v>
      </c>
      <c r="K36" s="17"/>
    </row>
    <row r="37" spans="3:13" ht="15.75" thickBot="1" x14ac:dyDescent="0.3">
      <c r="C37" s="19" t="s">
        <v>23</v>
      </c>
      <c r="D37" s="19" t="s">
        <v>0</v>
      </c>
      <c r="E37" s="19" t="s">
        <v>41</v>
      </c>
      <c r="F37" s="19"/>
      <c r="G37" s="19"/>
      <c r="H37" s="20">
        <v>30</v>
      </c>
      <c r="I37" s="19">
        <f>H37*pJaddfp32</f>
        <v>27</v>
      </c>
      <c r="J37" s="19">
        <f>H37*pJmplyfp32</f>
        <v>111</v>
      </c>
      <c r="K37" s="18">
        <f>I37+J37</f>
        <v>138</v>
      </c>
      <c r="L37" s="21">
        <f>K37/K38</f>
        <v>0.16666666666666666</v>
      </c>
      <c r="M37" s="2">
        <f>Freq*1000*K37/1000000</f>
        <v>4.1399999999999997</v>
      </c>
    </row>
    <row r="38" spans="3:13" ht="16.5" thickTop="1" thickBot="1" x14ac:dyDescent="0.3">
      <c r="J38" s="27"/>
      <c r="K38" s="26">
        <f>SUM(K35:K37)</f>
        <v>828</v>
      </c>
      <c r="L38" s="29"/>
      <c r="M38" s="26">
        <f>SUM(M35:M37)</f>
        <v>24.84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Ba</vt:lpstr>
      <vt:lpstr>Bg</vt:lpstr>
      <vt:lpstr>Bio</vt:lpstr>
      <vt:lpstr>Bw</vt:lpstr>
      <vt:lpstr>Freq</vt:lpstr>
      <vt:lpstr>K</vt:lpstr>
      <vt:lpstr>Mfc</vt:lpstr>
      <vt:lpstr>Min</vt:lpstr>
      <vt:lpstr>Minput</vt:lpstr>
      <vt:lpstr>Mout</vt:lpstr>
      <vt:lpstr>pJadd</vt:lpstr>
      <vt:lpstr>pJaddfp16</vt:lpstr>
      <vt:lpstr>pJaddfp32</vt:lpstr>
      <vt:lpstr>pJmply</vt:lpstr>
      <vt:lpstr>pJmplyfp16</vt:lpstr>
      <vt:lpstr>pJmplyfp32</vt:lpstr>
      <vt:lpstr>Total</vt:lpstr>
    </vt:vector>
  </TitlesOfParts>
  <Company>University of Oulu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Pekka Sangi</dc:creator>
  <cp:lastModifiedBy>Pekka Sangi</cp:lastModifiedBy>
  <dcterms:created xsi:type="dcterms:W3CDTF">2025-10-02T07:15:26Z</dcterms:created>
  <dcterms:modified xsi:type="dcterms:W3CDTF">2025-10-09T07:20:16Z</dcterms:modified>
</cp:coreProperties>
</file>